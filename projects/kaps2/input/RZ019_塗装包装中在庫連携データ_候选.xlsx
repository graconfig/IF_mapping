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原紙" sheetId="1" state="visible" r:id="rId1"/>
    <sheet name="I0101" sheetId="2" state="visible" r:id="rId2"/>
    <sheet name="旧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0"/>
    <numFmt numFmtId="165" formatCode="0;[RED]0"/>
  </numFmts>
  <fonts count="11">
    <font>
      <name val="ＭＳ Ｐゴシック"/>
      <charset val="128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ＭＳ 明朝"/>
      <charset val="128"/>
      <family val="1"/>
      <b val="1"/>
      <sz val="18"/>
    </font>
    <font>
      <name val="ＭＳ 明朝"/>
      <charset val="128"/>
      <family val="1"/>
      <color rgb="FF008000"/>
      <sz val="9"/>
    </font>
    <font>
      <name val="ＭＳ 明朝"/>
      <charset val="128"/>
      <family val="1"/>
      <color rgb="FF008000"/>
      <sz val="8"/>
    </font>
    <font>
      <name val="ＭＳ 明朝"/>
      <charset val="128"/>
      <family val="1"/>
      <sz val="9"/>
    </font>
    <font>
      <name val="ＭＳ 明朝"/>
      <charset val="128"/>
      <family val="1"/>
      <color rgb="FF0000FF"/>
      <sz val="9"/>
    </font>
    <font>
      <name val="ＭＳ 明朝"/>
      <charset val="128"/>
      <family val="1"/>
      <color rgb="FFFF0000"/>
      <sz val="9"/>
    </font>
    <font>
      <b val="1"/>
    </font>
  </fonts>
  <fills count="9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00CFE2F3"/>
        <bgColor rgb="00CFE2F3"/>
      </patternFill>
    </fill>
    <fill>
      <patternFill patternType="solid">
        <fgColor rgb="00FFF2CC"/>
        <bgColor rgb="00FFF2CC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</fills>
  <borders count="61">
    <border>
      <left/>
      <right/>
      <top/>
      <bottom/>
      <diagonal/>
    </border>
    <border>
      <left style="medium">
        <color rgb="FF008000"/>
      </left>
      <right/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/>
      <right/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 style="dotted">
        <color rgb="FF008000"/>
      </right>
      <top style="medium">
        <color rgb="FF008000"/>
      </top>
      <bottom style="medium">
        <color rgb="FF008000"/>
      </bottom>
      <diagonal/>
    </border>
    <border>
      <left/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/>
      <top style="medium">
        <color rgb="FF008000"/>
      </top>
      <bottom style="medium">
        <color rgb="FF008000"/>
      </bottom>
      <diagonal/>
    </border>
    <border>
      <left/>
      <right style="medium">
        <color rgb="FF008000"/>
      </right>
      <top style="medium">
        <color rgb="FF008000"/>
      </top>
      <bottom style="medium">
        <color rgb="FF008000"/>
      </bottom>
      <diagonal/>
    </border>
    <border>
      <left style="medium">
        <color rgb="FF008000"/>
      </left>
      <right/>
      <top/>
      <bottom style="hair">
        <color rgb="FF008000"/>
      </bottom>
      <diagonal/>
    </border>
    <border>
      <left style="thin">
        <color rgb="FF008000"/>
      </left>
      <right style="thin">
        <color rgb="FF008000"/>
      </right>
      <top/>
      <bottom style="hair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hair">
        <color rgb="FF008000"/>
      </bottom>
      <diagonal/>
    </border>
    <border>
      <left/>
      <right/>
      <top/>
      <bottom style="hair">
        <color rgb="FF008000"/>
      </bottom>
      <diagonal/>
    </border>
    <border>
      <left style="thin">
        <color rgb="FF008000"/>
      </left>
      <right style="dotted">
        <color rgb="FF008000"/>
      </right>
      <top/>
      <bottom style="hair">
        <color rgb="FF008000"/>
      </bottom>
      <diagonal/>
    </border>
    <border>
      <left/>
      <right style="thin">
        <color rgb="FF008000"/>
      </right>
      <top/>
      <bottom style="hair">
        <color rgb="FF008000"/>
      </bottom>
      <diagonal/>
    </border>
    <border>
      <left/>
      <right style="medium">
        <color rgb="FF008000"/>
      </right>
      <top style="medium">
        <color rgb="FF008000"/>
      </top>
      <bottom style="hair">
        <color rgb="FF008000"/>
      </bottom>
      <diagonal/>
    </border>
    <border>
      <left style="medium">
        <color rgb="FF008000"/>
      </left>
      <right/>
      <top style="hair">
        <color rgb="FF008000"/>
      </top>
      <bottom style="hair">
        <color rgb="FF008000"/>
      </bottom>
      <diagonal/>
    </border>
    <border>
      <left/>
      <right/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dotted">
        <color rgb="FF008000"/>
      </right>
      <top style="hair">
        <color rgb="FF008000"/>
      </top>
      <bottom style="hair">
        <color rgb="FF008000"/>
      </bottom>
      <diagonal/>
    </border>
    <border>
      <left/>
      <right style="thin">
        <color rgb="FF008000"/>
      </right>
      <top style="hair">
        <color rgb="FF008000"/>
      </top>
      <bottom style="hair">
        <color rgb="FF008000"/>
      </bottom>
      <diagonal/>
    </border>
    <border>
      <left/>
      <right style="medium">
        <color rgb="FF008000"/>
      </right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medium">
        <color rgb="FF008000"/>
      </right>
      <top style="hair">
        <color rgb="FF008000"/>
      </top>
      <bottom style="hair">
        <color rgb="FF008000"/>
      </bottom>
      <diagonal/>
    </border>
    <border>
      <left/>
      <right/>
      <top style="hair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medium">
        <color rgb="FF008000"/>
      </bottom>
      <diagonal/>
    </border>
    <border>
      <left style="thin">
        <color rgb="FF008000"/>
      </left>
      <right style="dotted">
        <color rgb="FF008000"/>
      </right>
      <top style="hair">
        <color rgb="FF008000"/>
      </top>
      <bottom style="medium">
        <color rgb="FF008000"/>
      </bottom>
      <diagonal/>
    </border>
    <border>
      <left/>
      <right style="thin">
        <color rgb="FF008000"/>
      </right>
      <top style="hair">
        <color rgb="FF008000"/>
      </top>
      <bottom style="medium">
        <color rgb="FF008000"/>
      </bottom>
      <diagonal/>
    </border>
    <border>
      <left style="thin">
        <color rgb="FF008000"/>
      </left>
      <right/>
      <top/>
      <bottom style="hair">
        <color rgb="FF008000"/>
      </bottom>
      <diagonal/>
    </border>
    <border>
      <left/>
      <right style="medium">
        <color rgb="FF008000"/>
      </right>
      <top style="hair">
        <color rgb="FF008000"/>
      </top>
      <bottom style="medium">
        <color rgb="FF008000"/>
      </bottom>
      <diagonal/>
    </border>
    <border>
      <left/>
      <right/>
      <top style="medium">
        <color rgb="FF008000"/>
      </top>
      <bottom/>
      <diagonal/>
    </border>
    <border>
      <left/>
      <right style="medium">
        <color rgb="FF008000"/>
      </right>
      <top style="medium">
        <color rgb="FF008000"/>
      </top>
      <bottom/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/>
      <diagonal/>
    </border>
    <border>
      <left style="thin">
        <color rgb="FF008000"/>
      </left>
      <right/>
      <top style="medium">
        <color rgb="FF008000"/>
      </top>
      <bottom/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 style="medium">
        <color rgb="FF008000"/>
      </top>
      <bottom style="thin">
        <color rgb="FF008000"/>
      </bottom>
      <diagonal/>
    </border>
    <border>
      <left style="medium">
        <color rgb="FF008000"/>
      </left>
      <right style="thin">
        <color rgb="FF008000"/>
      </right>
      <top/>
      <bottom style="thin">
        <color rgb="FF008000"/>
      </bottom>
      <diagonal/>
    </border>
    <border>
      <left style="thin">
        <color rgb="FF008000"/>
      </left>
      <right/>
      <top/>
      <bottom style="thin">
        <color rgb="FF008000"/>
      </bottom>
      <diagonal/>
    </border>
    <border>
      <left style="thin">
        <color rgb="FF008000"/>
      </left>
      <right style="thin">
        <color rgb="FF008000"/>
      </right>
      <top/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/>
      <bottom style="thin">
        <color rgb="FF008000"/>
      </bottom>
      <diagonal/>
    </border>
    <border>
      <left style="medium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/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 style="thin">
        <color rgb="FF008000"/>
      </top>
      <bottom style="thin">
        <color rgb="FF008000"/>
      </bottom>
      <diagonal/>
    </border>
    <border>
      <left style="medium">
        <color rgb="FF008000"/>
      </left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/>
      <top style="thin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 style="medium">
        <color rgb="FF008000"/>
      </right>
      <top style="thin">
        <color rgb="FF008000"/>
      </top>
      <bottom style="medium">
        <color rgb="FF008000"/>
      </bottom>
      <diagonal/>
    </border>
    <border>
      <left style="medium">
        <color rgb="FF008000"/>
      </left>
      <right/>
      <top style="hair">
        <color rgb="FF008000"/>
      </top>
      <bottom style="medium">
        <color rgb="FF008000"/>
      </bottom>
      <diagonal/>
    </border>
    <border>
      <left/>
      <right/>
      <top style="hair">
        <color rgb="FF008000"/>
      </top>
      <bottom/>
      <diagonal/>
    </border>
    <border>
      <left/>
      <right style="medium">
        <color rgb="FF008000"/>
      </right>
      <top style="hair">
        <color rgb="FF008000"/>
      </top>
      <bottom/>
      <diagonal/>
    </border>
    <border>
      <left/>
      <right style="thin">
        <color rgb="FF008000"/>
      </right>
      <top style="medium">
        <color rgb="FF008000"/>
      </top>
      <bottom/>
      <diagonal/>
    </border>
    <border>
      <left/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/>
      <right/>
      <top style="medium">
        <color rgb="FF008000"/>
      </top>
      <bottom style="thin">
        <color rgb="FF008000"/>
      </bottom>
      <diagonal/>
    </border>
    <border>
      <left/>
      <right style="medium">
        <color rgb="FF008000"/>
      </right>
      <top style="medium">
        <color rgb="FF008000"/>
      </top>
      <bottom style="thin">
        <color rgb="FF008000"/>
      </bottom>
      <diagonal/>
    </border>
    <border>
      <left/>
      <right style="thin">
        <color rgb="FF008000"/>
      </right>
      <top/>
      <bottom/>
      <diagonal/>
    </border>
    <border>
      <left/>
      <right style="thin">
        <color rgb="FF008000"/>
      </right>
      <top/>
      <bottom style="thin">
        <color rgb="FF008000"/>
      </bottom>
      <diagonal/>
    </border>
    <border>
      <left/>
      <right/>
      <top/>
      <bottom style="thin">
        <color rgb="FF008000"/>
      </bottom>
      <diagonal/>
    </border>
    <border>
      <left/>
      <right/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 style="thin">
        <color rgb="FF008000"/>
      </bottom>
      <diagonal/>
    </border>
    <border>
      <left/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/>
      <right/>
      <top style="thin">
        <color rgb="FF008000"/>
      </top>
      <bottom style="medium">
        <color rgb="FF00800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9">
    <xf numFmtId="0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center" vertical="center"/>
    </xf>
    <xf numFmtId="49" fontId="5" fillId="2" borderId="1" applyAlignment="1" pivotButton="0" quotePrefix="0" xfId="0">
      <alignment horizontal="center" vertical="center"/>
    </xf>
    <xf numFmtId="49" fontId="5" fillId="2" borderId="2" applyAlignment="1" pivotButton="0" quotePrefix="0" xfId="0">
      <alignment horizontal="center" vertical="center"/>
    </xf>
    <xf numFmtId="49" fontId="5" fillId="2" borderId="3" applyAlignment="1" pivotButton="0" quotePrefix="0" xfId="0">
      <alignment horizontal="center" vertical="center"/>
    </xf>
    <xf numFmtId="49" fontId="5" fillId="2" borderId="4" applyAlignment="1" pivotButton="0" quotePrefix="0" xfId="0">
      <alignment horizontal="center" vertical="center" wrapText="1"/>
    </xf>
    <xf numFmtId="49" fontId="5" fillId="2" borderId="5" applyAlignment="1" pivotButton="0" quotePrefix="0" xfId="0">
      <alignment horizontal="center" vertical="center" wrapText="1"/>
    </xf>
    <xf numFmtId="49" fontId="5" fillId="2" borderId="6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164" fontId="7" fillId="0" borderId="8" applyAlignment="1" pivotButton="0" quotePrefix="0" xfId="0">
      <alignment horizontal="center" vertical="center"/>
    </xf>
    <xf numFmtId="49" fontId="7" fillId="0" borderId="9" applyAlignment="1" pivotButton="0" quotePrefix="0" xfId="0">
      <alignment horizontal="center" vertical="center"/>
    </xf>
    <xf numFmtId="49" fontId="7" fillId="0" borderId="10" applyAlignment="1" pivotButton="0" quotePrefix="0" xfId="0">
      <alignment horizontal="left" vertical="center" shrinkToFit="1"/>
    </xf>
    <xf numFmtId="49" fontId="7" fillId="0" borderId="11" applyAlignment="1" pivotButton="0" quotePrefix="0" xfId="0">
      <alignment horizontal="left" vertical="center"/>
    </xf>
    <xf numFmtId="49" fontId="7" fillId="0" borderId="9" applyAlignment="1" pivotButton="0" quotePrefix="0" xfId="0">
      <alignment horizontal="center" vertical="center" shrinkToFit="1"/>
    </xf>
    <xf numFmtId="165" fontId="7" fillId="0" borderId="12" applyAlignment="1" pivotButton="0" quotePrefix="0" xfId="0">
      <alignment horizontal="center" vertical="center" shrinkToFit="1"/>
    </xf>
    <xf numFmtId="165" fontId="7" fillId="0" borderId="13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65" fontId="7" fillId="0" borderId="9" applyAlignment="1" pivotButton="0" quotePrefix="0" xfId="0">
      <alignment horizontal="center" vertical="center"/>
    </xf>
    <xf numFmtId="49" fontId="7" fillId="0" borderId="14" applyAlignment="1" pivotButton="0" quotePrefix="0" xfId="0">
      <alignment horizontal="left" vertical="center"/>
    </xf>
    <xf numFmtId="164" fontId="7" fillId="0" borderId="15" applyAlignment="1" pivotButton="0" quotePrefix="0" xfId="0">
      <alignment horizontal="center" vertical="center"/>
    </xf>
    <xf numFmtId="49" fontId="7" fillId="0" borderId="10" applyAlignment="1" pivotButton="0" quotePrefix="0" xfId="0">
      <alignment horizontal="center" vertical="center"/>
    </xf>
    <xf numFmtId="49" fontId="7" fillId="0" borderId="16" applyAlignment="1" pivotButton="0" quotePrefix="0" xfId="0">
      <alignment horizontal="left" vertical="center"/>
    </xf>
    <xf numFmtId="165" fontId="7" fillId="0" borderId="17" applyAlignment="1" pivotButton="0" quotePrefix="0" xfId="0">
      <alignment horizontal="center" vertical="center"/>
    </xf>
    <xf numFmtId="165" fontId="7" fillId="0" borderId="18" applyAlignment="1" pivotButton="0" quotePrefix="0" xfId="0">
      <alignment horizontal="center" vertical="center"/>
    </xf>
    <xf numFmtId="165" fontId="7" fillId="0" borderId="10" applyAlignment="1" pivotButton="0" quotePrefix="0" xfId="0">
      <alignment horizontal="center" vertical="center"/>
    </xf>
    <xf numFmtId="49" fontId="7" fillId="0" borderId="19" applyAlignment="1" pivotButton="0" quotePrefix="0" xfId="0">
      <alignment horizontal="left" vertical="center"/>
    </xf>
    <xf numFmtId="49" fontId="7" fillId="3" borderId="10" applyAlignment="1" pivotButton="0" quotePrefix="0" xfId="0">
      <alignment horizontal="left" vertical="center" shrinkToFit="1"/>
    </xf>
    <xf numFmtId="49" fontId="7" fillId="0" borderId="20" applyAlignment="1" pivotButton="0" quotePrefix="0" xfId="0">
      <alignment horizontal="left" vertical="center" wrapText="1"/>
    </xf>
    <xf numFmtId="49" fontId="8" fillId="4" borderId="10" applyAlignment="1" pivotButton="0" quotePrefix="0" xfId="0">
      <alignment horizontal="left" vertical="center" shrinkToFit="1"/>
    </xf>
    <xf numFmtId="49" fontId="9" fillId="0" borderId="16" applyAlignment="1" pivotButton="0" quotePrefix="0" xfId="0">
      <alignment horizontal="left" vertical="center"/>
    </xf>
    <xf numFmtId="49" fontId="7" fillId="0" borderId="21" applyAlignment="1" pivotButton="0" quotePrefix="0" xfId="0">
      <alignment horizontal="left" vertical="center"/>
    </xf>
    <xf numFmtId="49" fontId="7" fillId="0" borderId="22" applyAlignment="1" pivotButton="0" quotePrefix="0" xfId="0">
      <alignment horizontal="center" vertical="center"/>
    </xf>
    <xf numFmtId="165" fontId="7" fillId="0" borderId="23" applyAlignment="1" pivotButton="0" quotePrefix="0" xfId="0">
      <alignment horizontal="center" vertical="center"/>
    </xf>
    <xf numFmtId="165" fontId="7" fillId="0" borderId="24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7" fillId="0" borderId="25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 vertical="center"/>
    </xf>
    <xf numFmtId="49" fontId="7" fillId="0" borderId="26" applyAlignment="1" pivotButton="0" quotePrefix="0" xfId="0">
      <alignment horizontal="left" vertical="center"/>
    </xf>
    <xf numFmtId="49" fontId="7" fillId="0" borderId="27" applyAlignment="1" pivotButton="0" quotePrefix="0" xfId="0">
      <alignment horizontal="general" vertical="center"/>
    </xf>
    <xf numFmtId="0" fontId="7" fillId="0" borderId="27" applyAlignment="1" pivotButton="0" quotePrefix="0" xfId="0">
      <alignment horizontal="center" vertical="center" shrinkToFit="1"/>
    </xf>
    <xf numFmtId="0" fontId="7" fillId="0" borderId="28" applyAlignment="1" pivotButton="0" quotePrefix="0" xfId="0">
      <alignment horizontal="center" vertical="center"/>
    </xf>
    <xf numFmtId="49" fontId="5" fillId="2" borderId="29" applyAlignment="1" pivotButton="0" quotePrefix="0" xfId="0">
      <alignment horizontal="center" vertical="center" shrinkToFit="1"/>
    </xf>
    <xf numFmtId="165" fontId="7" fillId="0" borderId="30" applyAlignment="1" pivotButton="0" quotePrefix="0" xfId="0">
      <alignment horizontal="center" vertical="center" shrinkToFit="1"/>
    </xf>
    <xf numFmtId="0" fontId="5" fillId="2" borderId="29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left" vertical="center" shrinkToFit="1"/>
    </xf>
    <xf numFmtId="49" fontId="5" fillId="2" borderId="31" applyAlignment="1" pivotButton="0" quotePrefix="0" xfId="0">
      <alignment horizontal="general" vertical="center" shrinkToFit="1"/>
    </xf>
    <xf numFmtId="49" fontId="7" fillId="0" borderId="32" applyAlignment="1" pivotButton="0" quotePrefix="0" xfId="0">
      <alignment horizontal="left" vertical="center" shrinkToFit="1"/>
    </xf>
    <xf numFmtId="49" fontId="5" fillId="2" borderId="33" applyAlignment="1" pivotButton="0" quotePrefix="0" xfId="0">
      <alignment horizontal="general" vertical="center" shrinkToFit="1"/>
    </xf>
    <xf numFmtId="49" fontId="7" fillId="0" borderId="34" applyAlignment="1" pivotButton="0" quotePrefix="0" xfId="0">
      <alignment horizontal="left" vertical="center"/>
    </xf>
    <xf numFmtId="49" fontId="6" fillId="2" borderId="35" applyAlignment="1" pivotButton="0" quotePrefix="0" xfId="0">
      <alignment horizontal="general" vertical="center" shrinkToFit="1"/>
    </xf>
    <xf numFmtId="49" fontId="7" fillId="0" borderId="35" applyAlignment="1" pivotButton="0" quotePrefix="0" xfId="0">
      <alignment horizontal="left" vertical="center"/>
    </xf>
    <xf numFmtId="0" fontId="5" fillId="2" borderId="35" applyAlignment="1" pivotButton="0" quotePrefix="0" xfId="0">
      <alignment horizontal="center" vertical="center" shrinkToFit="1"/>
    </xf>
    <xf numFmtId="49" fontId="7" fillId="0" borderId="35" applyAlignment="1" pivotButton="0" quotePrefix="0" xfId="0">
      <alignment horizontal="center" vertical="center"/>
    </xf>
    <xf numFmtId="49" fontId="7" fillId="0" borderId="36" applyAlignment="1" pivotButton="0" quotePrefix="0" xfId="0">
      <alignment horizontal="center" vertical="center" shrinkToFit="1"/>
    </xf>
    <xf numFmtId="49" fontId="5" fillId="2" borderId="37" applyAlignment="1" pivotButton="0" quotePrefix="0" xfId="0">
      <alignment horizontal="general" vertical="center" shrinkToFit="1"/>
    </xf>
    <xf numFmtId="49" fontId="7" fillId="0" borderId="38" applyAlignment="1" pivotButton="0" quotePrefix="0" xfId="0">
      <alignment horizontal="left" vertical="center"/>
    </xf>
    <xf numFmtId="49" fontId="6" fillId="2" borderId="39" applyAlignment="1" pivotButton="0" quotePrefix="0" xfId="0">
      <alignment horizontal="general" vertical="center" shrinkToFit="1"/>
    </xf>
    <xf numFmtId="49" fontId="7" fillId="0" borderId="39" applyAlignment="1" pivotButton="0" quotePrefix="0" xfId="0">
      <alignment horizontal="left" vertical="center"/>
    </xf>
    <xf numFmtId="0" fontId="5" fillId="2" borderId="39" applyAlignment="1" pivotButton="0" quotePrefix="0" xfId="0">
      <alignment horizontal="center" vertical="center" shrinkToFit="1"/>
    </xf>
    <xf numFmtId="49" fontId="7" fillId="0" borderId="39" applyAlignment="1" pivotButton="0" quotePrefix="0" xfId="0">
      <alignment horizontal="center" vertical="center"/>
    </xf>
    <xf numFmtId="49" fontId="7" fillId="0" borderId="40" applyAlignment="1" pivotButton="0" quotePrefix="0" xfId="0">
      <alignment horizontal="center" vertical="center" shrinkToFit="1"/>
    </xf>
    <xf numFmtId="49" fontId="5" fillId="2" borderId="41" applyAlignment="1" pivotButton="0" quotePrefix="0" xfId="0">
      <alignment horizontal="general" vertical="center" shrinkToFit="1"/>
    </xf>
    <xf numFmtId="49" fontId="7" fillId="0" borderId="42" applyAlignment="1" pivotButton="0" quotePrefix="0" xfId="0">
      <alignment horizontal="left" vertical="center"/>
    </xf>
    <xf numFmtId="49" fontId="6" fillId="2" borderId="43" applyAlignment="1" pivotButton="0" quotePrefix="0" xfId="0">
      <alignment horizontal="general" vertical="center" shrinkToFit="1"/>
    </xf>
    <xf numFmtId="49" fontId="7" fillId="0" borderId="43" applyAlignment="1" pivotButton="0" quotePrefix="0" xfId="0">
      <alignment horizontal="left" vertical="center"/>
    </xf>
    <xf numFmtId="0" fontId="5" fillId="2" borderId="43" applyAlignment="1" pivotButton="0" quotePrefix="0" xfId="0">
      <alignment horizontal="center" vertical="center" shrinkToFit="1"/>
    </xf>
    <xf numFmtId="49" fontId="7" fillId="0" borderId="43" applyAlignment="1" pivotButton="0" quotePrefix="0" xfId="0">
      <alignment horizontal="center" vertical="center"/>
    </xf>
    <xf numFmtId="49" fontId="7" fillId="0" borderId="44" applyAlignment="1" pivotButton="0" quotePrefix="0" xfId="0">
      <alignment horizontal="general" vertical="center" shrinkToFit="1"/>
    </xf>
    <xf numFmtId="49" fontId="7" fillId="0" borderId="16" applyAlignment="1" pivotButton="0" quotePrefix="0" xfId="0">
      <alignment horizontal="left" vertical="center"/>
    </xf>
    <xf numFmtId="164" fontId="7" fillId="0" borderId="45" applyAlignment="1" pivotButton="0" quotePrefix="0" xfId="0">
      <alignment horizontal="center" vertical="center"/>
    </xf>
    <xf numFmtId="49" fontId="7" fillId="0" borderId="22" applyAlignment="1" pivotButton="0" quotePrefix="0" xfId="0">
      <alignment horizontal="left" vertical="center" shrinkToFit="1"/>
    </xf>
    <xf numFmtId="49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0" applyAlignment="1" pivotButton="0" quotePrefix="0" xfId="0">
      <alignment horizontal="center" vertical="center"/>
    </xf>
    <xf numFmtId="49" fontId="5" fillId="2" borderId="1" applyAlignment="1" pivotButton="0" quotePrefix="0" xfId="0">
      <alignment horizontal="center" vertical="center"/>
    </xf>
    <xf numFmtId="49" fontId="5" fillId="2" borderId="2" applyAlignment="1" pivotButton="0" quotePrefix="0" xfId="0">
      <alignment horizontal="center" vertical="center"/>
    </xf>
    <xf numFmtId="49" fontId="5" fillId="2" borderId="3" applyAlignment="1" pivotButton="0" quotePrefix="0" xfId="0">
      <alignment horizontal="center" vertical="center"/>
    </xf>
    <xf numFmtId="49" fontId="5" fillId="2" borderId="4" applyAlignment="1" pivotButton="0" quotePrefix="0" xfId="0">
      <alignment horizontal="center" vertical="center" wrapText="1"/>
    </xf>
    <xf numFmtId="49" fontId="5" fillId="2" borderId="5" applyAlignment="1" pivotButton="0" quotePrefix="0" xfId="0">
      <alignment horizontal="center" vertical="center" wrapText="1"/>
    </xf>
    <xf numFmtId="49" fontId="5" fillId="2" borderId="6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10" fillId="5" borderId="0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/>
    </xf>
    <xf numFmtId="49" fontId="7" fillId="0" borderId="9" applyAlignment="1" pivotButton="0" quotePrefix="0" xfId="0">
      <alignment horizontal="center" vertical="center"/>
    </xf>
    <xf numFmtId="49" fontId="7" fillId="0" borderId="10" applyAlignment="1" pivotButton="0" quotePrefix="0" xfId="0">
      <alignment horizontal="left" vertical="center" shrinkToFit="1"/>
    </xf>
    <xf numFmtId="49" fontId="7" fillId="0" borderId="11" applyAlignment="1" pivotButton="0" quotePrefix="0" xfId="0">
      <alignment horizontal="left" vertical="center"/>
    </xf>
    <xf numFmtId="49" fontId="7" fillId="0" borderId="9" applyAlignment="1" pivotButton="0" quotePrefix="0" xfId="0">
      <alignment horizontal="center" vertical="center" shrinkToFit="1"/>
    </xf>
    <xf numFmtId="165" fontId="7" fillId="0" borderId="12" applyAlignment="1" pivotButton="0" quotePrefix="0" xfId="0">
      <alignment horizontal="center" vertical="center" shrinkToFit="1"/>
    </xf>
    <xf numFmtId="165" fontId="7" fillId="0" borderId="13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65" fontId="7" fillId="0" borderId="9" applyAlignment="1" pivotButton="0" quotePrefix="0" xfId="0">
      <alignment horizontal="center" vertical="center"/>
    </xf>
    <xf numFmtId="49" fontId="7" fillId="0" borderId="14" applyAlignment="1" pivotButton="0" quotePrefix="0" xfId="0">
      <alignment horizontal="left" vertical="center"/>
    </xf>
    <xf numFmtId="0" fontId="0" fillId="0" borderId="14" pivotButton="0" quotePrefix="0" xfId="0"/>
    <xf numFmtId="0" fontId="0" fillId="6" borderId="0" pivotButton="0" quotePrefix="0" xfId="0"/>
    <xf numFmtId="164" fontId="7" fillId="0" borderId="15" applyAlignment="1" pivotButton="0" quotePrefix="0" xfId="0">
      <alignment horizontal="center" vertical="center"/>
    </xf>
    <xf numFmtId="49" fontId="7" fillId="0" borderId="10" applyAlignment="1" pivotButton="0" quotePrefix="0" xfId="0">
      <alignment horizontal="center" vertical="center"/>
    </xf>
    <xf numFmtId="49" fontId="7" fillId="0" borderId="16" applyAlignment="1" pivotButton="0" quotePrefix="0" xfId="0">
      <alignment horizontal="left" vertical="center"/>
    </xf>
    <xf numFmtId="165" fontId="7" fillId="0" borderId="17" applyAlignment="1" pivotButton="0" quotePrefix="0" xfId="0">
      <alignment horizontal="center" vertical="center"/>
    </xf>
    <xf numFmtId="165" fontId="7" fillId="0" borderId="18" applyAlignment="1" pivotButton="0" quotePrefix="0" xfId="0">
      <alignment horizontal="center" vertical="center"/>
    </xf>
    <xf numFmtId="165" fontId="7" fillId="0" borderId="10" applyAlignment="1" pivotButton="0" quotePrefix="0" xfId="0">
      <alignment horizontal="center" vertical="center"/>
    </xf>
    <xf numFmtId="49" fontId="7" fillId="0" borderId="19" applyAlignment="1" pivotButton="0" quotePrefix="0" xfId="0">
      <alignment horizontal="left" vertical="center"/>
    </xf>
    <xf numFmtId="0" fontId="0" fillId="0" borderId="19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0" fontId="0" fillId="7" borderId="0" applyAlignment="1" pivotButton="0" quotePrefix="0" xfId="0">
      <alignment vertical="top" wrapText="1"/>
    </xf>
    <xf numFmtId="49" fontId="7" fillId="3" borderId="10" applyAlignment="1" pivotButton="0" quotePrefix="0" xfId="0">
      <alignment horizontal="left" vertical="center" shrinkToFit="1"/>
    </xf>
    <xf numFmtId="49" fontId="7" fillId="0" borderId="20" applyAlignment="1" pivotButton="0" quotePrefix="0" xfId="0">
      <alignment horizontal="left" vertical="center" wrapText="1"/>
    </xf>
    <xf numFmtId="49" fontId="8" fillId="4" borderId="10" applyAlignment="1" pivotButton="0" quotePrefix="0" xfId="0">
      <alignment horizontal="left" vertical="center" shrinkToFit="1"/>
    </xf>
    <xf numFmtId="49" fontId="9" fillId="0" borderId="16" applyAlignment="1" pivotButton="0" quotePrefix="0" xfId="0">
      <alignment horizontal="left" vertical="center"/>
    </xf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0" fillId="8" borderId="0" applyAlignment="1" pivotButton="0" quotePrefix="0" xfId="0">
      <alignment vertical="top" wrapText="1"/>
    </xf>
    <xf numFmtId="49" fontId="7" fillId="0" borderId="21" applyAlignment="1" pivotButton="0" quotePrefix="0" xfId="0">
      <alignment horizontal="left" vertical="center"/>
    </xf>
    <xf numFmtId="49" fontId="7" fillId="0" borderId="22" applyAlignment="1" pivotButton="0" quotePrefix="0" xfId="0">
      <alignment horizontal="center" vertical="center"/>
    </xf>
    <xf numFmtId="165" fontId="7" fillId="0" borderId="23" applyAlignment="1" pivotButton="0" quotePrefix="0" xfId="0">
      <alignment horizontal="center" vertical="center"/>
    </xf>
    <xf numFmtId="165" fontId="7" fillId="0" borderId="24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7" fillId="0" borderId="25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 vertical="center"/>
    </xf>
    <xf numFmtId="49" fontId="7" fillId="0" borderId="26" applyAlignment="1" pivotButton="0" quotePrefix="0" xfId="0">
      <alignment horizontal="left" vertical="center"/>
    </xf>
    <xf numFmtId="0" fontId="0" fillId="0" borderId="26" pivotButton="0" quotePrefix="0" xfId="0"/>
    <xf numFmtId="49" fontId="7" fillId="0" borderId="27" applyAlignment="1" pivotButton="0" quotePrefix="0" xfId="0">
      <alignment horizontal="general" vertical="center"/>
    </xf>
    <xf numFmtId="0" fontId="7" fillId="0" borderId="27" applyAlignment="1" pivotButton="0" quotePrefix="0" xfId="0">
      <alignment horizontal="center" vertical="center" shrinkToFit="1"/>
    </xf>
    <xf numFmtId="0" fontId="7" fillId="0" borderId="28" applyAlignment="1" pivotButton="0" quotePrefix="0" xfId="0">
      <alignment horizontal="center" vertical="center"/>
    </xf>
    <xf numFmtId="49" fontId="5" fillId="2" borderId="29" applyAlignment="1" pivotButton="0" quotePrefix="0" xfId="0">
      <alignment horizontal="center" vertical="center" shrinkToFit="1"/>
    </xf>
    <xf numFmtId="165" fontId="7" fillId="0" borderId="30" applyAlignment="1" pivotButton="0" quotePrefix="0" xfId="0">
      <alignment horizontal="center" vertical="center" shrinkToFit="1"/>
    </xf>
    <xf numFmtId="0" fontId="5" fillId="2" borderId="29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left" vertical="center" shrinkToFit="1"/>
    </xf>
    <xf numFmtId="49" fontId="5" fillId="2" borderId="31" applyAlignment="1" pivotButton="0" quotePrefix="0" xfId="0">
      <alignment horizontal="general" vertical="center" shrinkToFit="1"/>
    </xf>
    <xf numFmtId="0" fontId="0" fillId="0" borderId="49" pivotButton="0" quotePrefix="0" xfId="0"/>
    <xf numFmtId="49" fontId="7" fillId="0" borderId="32" applyAlignment="1" pivotButton="0" quotePrefix="0" xfId="0">
      <alignment horizontal="left" vertical="center" shrinkToFit="1"/>
    </xf>
    <xf numFmtId="0" fontId="0" fillId="0" borderId="50" pivotButton="0" quotePrefix="0" xfId="0"/>
    <xf numFmtId="0" fontId="0" fillId="0" borderId="51" pivotButton="0" quotePrefix="0" xfId="0"/>
    <xf numFmtId="49" fontId="5" fillId="2" borderId="33" applyAlignment="1" pivotButton="0" quotePrefix="0" xfId="0">
      <alignment horizontal="general" vertical="center" shrinkToFit="1"/>
    </xf>
    <xf numFmtId="0" fontId="0" fillId="0" borderId="53" pivotButton="0" quotePrefix="0" xfId="0"/>
    <xf numFmtId="49" fontId="7" fillId="0" borderId="34" applyAlignment="1" pivotButton="0" quotePrefix="0" xfId="0">
      <alignment horizontal="left" vertical="center"/>
    </xf>
    <xf numFmtId="49" fontId="6" fillId="2" borderId="35" applyAlignment="1" pivotButton="0" quotePrefix="0" xfId="0">
      <alignment horizontal="general" vertical="center" shrinkToFit="1"/>
    </xf>
    <xf numFmtId="49" fontId="7" fillId="0" borderId="35" applyAlignment="1" pivotButton="0" quotePrefix="0" xfId="0">
      <alignment horizontal="left" vertical="center"/>
    </xf>
    <xf numFmtId="0" fontId="0" fillId="0" borderId="54" pivotButton="0" quotePrefix="0" xfId="0"/>
    <xf numFmtId="0" fontId="5" fillId="2" borderId="35" applyAlignment="1" pivotButton="0" quotePrefix="0" xfId="0">
      <alignment horizontal="center" vertical="center" shrinkToFit="1"/>
    </xf>
    <xf numFmtId="49" fontId="7" fillId="0" borderId="35" applyAlignment="1" pivotButton="0" quotePrefix="0" xfId="0">
      <alignment horizontal="center" vertical="center"/>
    </xf>
    <xf numFmtId="49" fontId="7" fillId="0" borderId="36" applyAlignment="1" pivotButton="0" quotePrefix="0" xfId="0">
      <alignment horizontal="center" vertical="center" shrinkToFit="1"/>
    </xf>
    <xf numFmtId="49" fontId="5" fillId="2" borderId="37" applyAlignment="1" pivotButton="0" quotePrefix="0" xfId="0">
      <alignment horizontal="general" vertical="center" shrinkToFit="1"/>
    </xf>
    <xf numFmtId="0" fontId="0" fillId="0" borderId="57" pivotButton="0" quotePrefix="0" xfId="0"/>
    <xf numFmtId="49" fontId="7" fillId="0" borderId="38" applyAlignment="1" pivotButton="0" quotePrefix="0" xfId="0">
      <alignment horizontal="left" vertical="center"/>
    </xf>
    <xf numFmtId="49" fontId="6" fillId="2" borderId="39" applyAlignment="1" pivotButton="0" quotePrefix="0" xfId="0">
      <alignment horizontal="general" vertical="center" shrinkToFit="1"/>
    </xf>
    <xf numFmtId="49" fontId="7" fillId="0" borderId="39" applyAlignment="1" pivotButton="0" quotePrefix="0" xfId="0">
      <alignment horizontal="left" vertical="center"/>
    </xf>
    <xf numFmtId="0" fontId="0" fillId="0" borderId="58" pivotButton="0" quotePrefix="0" xfId="0"/>
    <xf numFmtId="0" fontId="5" fillId="2" borderId="39" applyAlignment="1" pivotButton="0" quotePrefix="0" xfId="0">
      <alignment horizontal="center" vertical="center" shrinkToFit="1"/>
    </xf>
    <xf numFmtId="49" fontId="7" fillId="0" borderId="39" applyAlignment="1" pivotButton="0" quotePrefix="0" xfId="0">
      <alignment horizontal="center" vertical="center"/>
    </xf>
    <xf numFmtId="49" fontId="7" fillId="0" borderId="40" applyAlignment="1" pivotButton="0" quotePrefix="0" xfId="0">
      <alignment horizontal="center" vertical="center" shrinkToFit="1"/>
    </xf>
    <xf numFmtId="49" fontId="5" fillId="2" borderId="41" applyAlignment="1" pivotButton="0" quotePrefix="0" xfId="0">
      <alignment horizontal="general" vertical="center" shrinkToFit="1"/>
    </xf>
    <xf numFmtId="0" fontId="0" fillId="0" borderId="59" pivotButton="0" quotePrefix="0" xfId="0"/>
    <xf numFmtId="49" fontId="7" fillId="0" borderId="42" applyAlignment="1" pivotButton="0" quotePrefix="0" xfId="0">
      <alignment horizontal="left" vertical="center"/>
    </xf>
    <xf numFmtId="49" fontId="6" fillId="2" borderId="43" applyAlignment="1" pivotButton="0" quotePrefix="0" xfId="0">
      <alignment horizontal="general" vertical="center" shrinkToFit="1"/>
    </xf>
    <xf numFmtId="49" fontId="7" fillId="0" borderId="43" applyAlignment="1" pivotButton="0" quotePrefix="0" xfId="0">
      <alignment horizontal="left" vertical="center"/>
    </xf>
    <xf numFmtId="0" fontId="0" fillId="0" borderId="60" pivotButton="0" quotePrefix="0" xfId="0"/>
    <xf numFmtId="0" fontId="5" fillId="2" borderId="43" applyAlignment="1" pivotButton="0" quotePrefix="0" xfId="0">
      <alignment horizontal="center" vertical="center" shrinkToFit="1"/>
    </xf>
    <xf numFmtId="49" fontId="7" fillId="0" borderId="43" applyAlignment="1" pivotButton="0" quotePrefix="0" xfId="0">
      <alignment horizontal="center" vertical="center"/>
    </xf>
    <xf numFmtId="49" fontId="7" fillId="0" borderId="44" applyAlignment="1" pivotButton="0" quotePrefix="0" xfId="0">
      <alignment horizontal="general" vertical="center" shrinkToFit="1"/>
    </xf>
    <xf numFmtId="164" fontId="7" fillId="0" borderId="45" applyAlignment="1" pivotButton="0" quotePrefix="0" xfId="0">
      <alignment horizontal="center" vertical="center"/>
    </xf>
    <xf numFmtId="49" fontId="7" fillId="0" borderId="22" applyAlignment="1" pivotButton="0" quotePrefix="0" xfId="0">
      <alignment horizontal="left" vertical="center" shrinkToFit="1"/>
    </xf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7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3.4921875" defaultRowHeight="15" zeroHeight="0" outlineLevelRow="0"/>
  <cols>
    <col width="3.62" customWidth="1" style="75" min="1" max="1"/>
    <col width="4.61" customWidth="1" style="75" min="2" max="2"/>
    <col width="21.25" customWidth="1" style="75" min="3" max="3"/>
    <col width="14.11" customWidth="1" style="75" min="4" max="4"/>
    <col width="5.37" customWidth="1" style="75" min="5" max="5"/>
    <col width="6.61" customWidth="1" style="75" min="6" max="7"/>
    <col width="5.61" customWidth="1" style="75" min="8" max="8"/>
    <col width="6.61" customWidth="1" style="75" min="9" max="9"/>
    <col width="4.49" customWidth="1" style="75" min="10" max="10"/>
    <col width="6.12" customWidth="1" style="75" min="11" max="11"/>
    <col width="9.609999999999999" customWidth="1" style="75" min="12" max="12"/>
    <col width="40" customWidth="1" style="76" min="13" max="13"/>
    <col width="18" customWidth="1" style="76" min="14" max="14"/>
    <col width="60" customWidth="1" style="76" min="15" max="15"/>
  </cols>
  <sheetData>
    <row r="1" ht="39.95" customHeight="1" s="76">
      <c r="A1" s="77" t="inlineStr">
        <is>
          <t>レコード仕様書</t>
        </is>
      </c>
    </row>
    <row r="2" ht="23.1" customHeight="1" s="76">
      <c r="A2" s="78" t="inlineStr">
        <is>
          <t>№</t>
        </is>
      </c>
      <c r="B2" s="79" t="inlineStr">
        <is>
          <t>LVL</t>
        </is>
      </c>
      <c r="C2" s="79" t="inlineStr">
        <is>
          <t>項目名</t>
        </is>
      </c>
      <c r="D2" s="80" t="inlineStr">
        <is>
          <t>項目コード</t>
        </is>
      </c>
      <c r="E2" s="79" t="inlineStr">
        <is>
          <t>Type</t>
        </is>
      </c>
      <c r="F2" s="81" t="inlineStr">
        <is>
          <t>Leng　　(整数)</t>
        </is>
      </c>
      <c r="G2" s="82" t="inlineStr">
        <is>
          <t>Leng　　(小数)</t>
        </is>
      </c>
      <c r="H2" s="79" t="inlineStr">
        <is>
          <t>上限</t>
        </is>
      </c>
      <c r="I2" s="83" t="inlineStr">
        <is>
          <t>Byte</t>
        </is>
      </c>
      <c r="J2" s="79" t="inlineStr">
        <is>
          <t>ｱﾚ-</t>
        </is>
      </c>
      <c r="K2" s="84" t="inlineStr">
        <is>
          <t>備考</t>
        </is>
      </c>
      <c r="L2" s="85" t="n"/>
      <c r="M2" s="86" t="inlineStr">
        <is>
          <t>推奨 SAP 字段</t>
        </is>
      </c>
      <c r="N2" s="86" t="inlineStr">
        <is>
          <t>信心</t>
        </is>
      </c>
      <c r="O2" s="86" t="inlineStr">
        <is>
          <t>備考（业务判断）</t>
        </is>
      </c>
    </row>
    <row r="3" ht="23.1" customHeight="1" s="76">
      <c r="A3" s="87" t="n">
        <v>1</v>
      </c>
      <c r="B3" s="88" t="inlineStr">
        <is>
          <t>03</t>
        </is>
      </c>
      <c r="C3" s="89" t="inlineStr">
        <is>
          <t>ＦＩＬＥ－ＩＤ</t>
        </is>
      </c>
      <c r="D3" s="90" t="inlineStr">
        <is>
          <t>BFIL</t>
        </is>
      </c>
      <c r="E3" s="91" t="inlineStr">
        <is>
          <t>C</t>
        </is>
      </c>
      <c r="F3" s="92" t="n">
        <v>2</v>
      </c>
      <c r="G3" s="93" t="n"/>
      <c r="H3" s="94" t="n">
        <v>1</v>
      </c>
      <c r="I3" s="92" t="n">
        <v>2</v>
      </c>
      <c r="J3" s="95" t="n"/>
      <c r="K3" s="96" t="inlineStr">
        <is>
          <t>'FA'</t>
        </is>
      </c>
      <c r="L3" s="97" t="n"/>
      <c r="M3" s="98" t="inlineStr">
        <is>
          <t>（无历史映射 — 可能为接口内部字段）</t>
        </is>
      </c>
      <c r="N3" s="98" t="inlineStr">
        <is>
          <t>—</t>
        </is>
      </c>
      <c r="O3" s="98" t="inlineStr">
        <is>
          <t>业务词典判定：[AI 判断] ＦＩＬＥ－ＩＤ（BFIL）是 C(2) 固定値 'FA' 的文件识别符，属于接口报文头/レコード種別フラグ，用于区分文件或记录类型，不承载业务语义。此类字段在 SAP 侧无对应业务字段（既非編集データ也非マスタ参照），应作为接口内部字段处理，不映射到 SAP 表。</t>
        </is>
      </c>
    </row>
    <row r="4" ht="23.1" customHeight="1" s="76">
      <c r="A4" s="99" t="n">
        <v>2</v>
      </c>
      <c r="B4" s="100" t="inlineStr">
        <is>
          <t>03</t>
        </is>
      </c>
      <c r="C4" s="89" t="inlineStr">
        <is>
          <t>品番</t>
        </is>
      </c>
      <c r="D4" s="101" t="inlineStr">
        <is>
          <t>BHIN</t>
        </is>
      </c>
      <c r="E4" s="100" t="inlineStr">
        <is>
          <t>C</t>
        </is>
      </c>
      <c r="F4" s="102" t="n">
        <v>13</v>
      </c>
      <c r="G4" s="103" t="n"/>
      <c r="H4" s="104">
        <f>SUM(H3,I3)</f>
        <v/>
      </c>
      <c r="I4" s="102" t="n">
        <v>13</v>
      </c>
      <c r="J4" s="104" t="n"/>
      <c r="K4" s="105" t="n"/>
      <c r="L4" s="106" t="n"/>
      <c r="M4" s="107" t="inlineStr">
        <is>
          <t>VBAP.MATNR（品目コード）</t>
        </is>
      </c>
      <c r="N4" s="108" t="inlineStr">
        <is>
          <t>★</t>
        </is>
      </c>
      <c r="O4" s="109" t="inlineStr">
        <is>
          <t>历史上存在多种映射方式，「品目コード」（VBAP.MATNR）与「品目コード」（VBRP.MATNR）频次相近。两个 SAP 字段语义不同，请根据实际业务判断应使用哪一个。</t>
        </is>
      </c>
    </row>
    <row r="5" ht="23.1" customHeight="1" s="76">
      <c r="A5" s="99" t="n">
        <v>3</v>
      </c>
      <c r="B5" s="100" t="inlineStr">
        <is>
          <t>03</t>
        </is>
      </c>
      <c r="C5" s="110" t="inlineStr">
        <is>
          <t>ＰＣコード</t>
        </is>
      </c>
      <c r="D5" s="101" t="inlineStr">
        <is>
          <t>CPC</t>
        </is>
      </c>
      <c r="E5" s="100" t="inlineStr">
        <is>
          <t>C</t>
        </is>
      </c>
      <c r="F5" s="102" t="n">
        <v>2</v>
      </c>
      <c r="G5" s="103" t="n"/>
      <c r="H5" s="104">
        <f>SUM(H4,I4)</f>
        <v/>
      </c>
      <c r="I5" s="102" t="n">
        <v>2</v>
      </c>
      <c r="J5" s="104" t="n"/>
      <c r="K5" s="105" t="inlineStr">
        <is>
          <t>倉庫コード</t>
        </is>
      </c>
      <c r="L5" s="106" t="n"/>
      <c r="M5" s="107" t="inlineStr">
        <is>
          <t>[AI推测] VBAP.WERKS（プラント）</t>
        </is>
      </c>
      <c r="N5" s="108" t="inlineStr">
        <is>
          <t>AI推测 需复核</t>
        </is>
      </c>
      <c r="O5" s="109" t="inlineStr">
        <is>
          <t>AI 推测（无历史直接命中，信心 0.70）：推荐「プラント」（VBAP.WERKS）——備考『倉庫コード』+ 项目名『ＰＣコード』(=Plant Code 的可能解释) + C(2) 短代码。SAP WERKS 为 CHAR(4) 倉庫/プラント代码，C(2) 长度可兼容（输入侧可右补空格或前补零）；且本接口已确认有 VBAP 行，出向/入向库存连携接口的『倉庫コード』在 SPI 画像中通常映射到 VBRP.WERKS / LIKP.WERKS 等 CHAR 短字段，类型一致。。备选：MARD.LGORT（保管場所） / VBAP.LGORT（保管場所）。AI 推断仅作参考，请务必人工复核。</t>
        </is>
      </c>
    </row>
    <row r="6" ht="23.1" customHeight="1" s="76">
      <c r="A6" s="99" t="n">
        <v>4</v>
      </c>
      <c r="B6" s="100" t="inlineStr">
        <is>
          <t>03</t>
        </is>
      </c>
      <c r="C6" s="110" t="inlineStr">
        <is>
          <t>倉庫コード</t>
        </is>
      </c>
      <c r="D6" s="101" t="inlineStr">
        <is>
          <t>BSOK</t>
        </is>
      </c>
      <c r="E6" s="100" t="inlineStr">
        <is>
          <t>C</t>
        </is>
      </c>
      <c r="F6" s="102" t="n">
        <v>2</v>
      </c>
      <c r="G6" s="103" t="n"/>
      <c r="H6" s="104">
        <f>SUM(H5,I5)</f>
        <v/>
      </c>
      <c r="I6" s="102" t="n">
        <v>2</v>
      </c>
      <c r="J6" s="104" t="n"/>
      <c r="K6" s="105" t="inlineStr">
        <is>
          <t>サブ倉庫コード</t>
        </is>
      </c>
      <c r="L6" s="106" t="n"/>
      <c r="M6" s="107" t="inlineStr">
        <is>
          <t>[AI推测] VBAP.WERKS（プラント）</t>
        </is>
      </c>
      <c r="N6" s="108" t="inlineStr">
        <is>
          <t>AI推测 需复核</t>
        </is>
      </c>
      <c r="O6" s="109" t="inlineStr">
        <is>
          <t>AI 推测（无历史直接命中，信心 0.70）：推荐「プラント」（VBAP.WERKS）——C(2) 短代码，与 SAP WERKS（CHAR 4）类型兼容（长度可容纳）。本接口已确定 VBAP 上下文（品番→VBAP.MATNR），且知识库中『倉庫コード』『出倉庫コード』在 VBAP 行项目中多次映射到 WERKS（プラント），サブ倉庫常作为 plant 单位管理。。备选：VBAP.LGORT（保管場所） / LIPS.LGORT（保管場所）。AI 推断仅作参考，请务必人工复核。</t>
        </is>
      </c>
    </row>
    <row r="7" ht="23.1" customHeight="1" s="76">
      <c r="A7" s="99" t="n">
        <v>5</v>
      </c>
      <c r="B7" s="100" t="inlineStr">
        <is>
          <t>03</t>
        </is>
      </c>
      <c r="C7" s="89" t="inlineStr">
        <is>
          <t>棚番</t>
        </is>
      </c>
      <c r="D7" s="101" t="inlineStr">
        <is>
          <t>BTAB</t>
        </is>
      </c>
      <c r="E7" s="100" t="inlineStr">
        <is>
          <t>C</t>
        </is>
      </c>
      <c r="F7" s="102" t="n">
        <v>8</v>
      </c>
      <c r="G7" s="103" t="n"/>
      <c r="H7" s="104">
        <f>SUM(H6,I6)</f>
        <v/>
      </c>
      <c r="I7" s="102" t="n">
        <v>8</v>
      </c>
      <c r="J7" s="104" t="n"/>
      <c r="K7" s="105" t="n"/>
      <c r="L7" s="106" t="n"/>
      <c r="M7" s="107" t="inlineStr">
        <is>
          <t>[AI推测] MARD.LGPBE（保管場所棚番）</t>
        </is>
      </c>
      <c r="N7" s="108" t="inlineStr">
        <is>
          <t>★（AI推测）</t>
        </is>
      </c>
      <c r="O7" s="109" t="inlineStr">
        <is>
          <t>AI 推测（无历史直接命中，信心 0.82）：推荐「保管場所棚番」（MARD.LGPBE）——業務は『塗装包装中在庫連携』で在庫(MARD家族)の文脈、項目名『棚番』はそのままSAPの保管場所棚番。型はC(8)で、SAP側 LGPBE は CHAR(10)、桁数も意味も完全に整合（左詰めで収まる、コード系の短文字フィールド）。。备选：MCHB.LGPBE（バッチ在庫の保管棚番） / LAGP.LGPLA（倉庫管理(WM)保管棚）。AI 推断仅作参考，请务必人工复核。</t>
        </is>
      </c>
    </row>
    <row r="8" ht="23.1" customHeight="1" s="76">
      <c r="A8" s="99" t="n">
        <v>6</v>
      </c>
      <c r="B8" s="100" t="inlineStr">
        <is>
          <t>03</t>
        </is>
      </c>
      <c r="C8" s="89" t="inlineStr">
        <is>
          <t>符号</t>
        </is>
      </c>
      <c r="D8" s="101" t="inlineStr">
        <is>
          <t>CFUGO1</t>
        </is>
      </c>
      <c r="E8" s="100" t="inlineStr">
        <is>
          <t>C</t>
        </is>
      </c>
      <c r="F8" s="102" t="n">
        <v>1</v>
      </c>
      <c r="G8" s="103" t="n"/>
      <c r="H8" s="104">
        <f>SUM(H7,I7)</f>
        <v/>
      </c>
      <c r="I8" s="102" t="n">
        <v>1</v>
      </c>
      <c r="J8" s="104" t="n"/>
      <c r="K8" s="105" t="n"/>
      <c r="L8" s="106" t="n"/>
      <c r="M8" s="107" t="inlineStr">
        <is>
          <t>[AI推测] VBRK.FKART（請求タイプ）</t>
        </is>
      </c>
      <c r="N8" s="108" t="inlineStr">
        <is>
          <t>★（AI推测）</t>
        </is>
      </c>
      <c r="O8" s="109" t="inlineStr">
        <is>
          <t>AI 推测（无历史直接命中，信心 0.55）：推荐「請求タイプ」（VBRK.FKART）——C(1) 短字符代码字段；知识库中『符号』在対向系统 SPI(CS) 历史接口（IFZ9000172/IFZ9000173）稳定映射到 VBRK.FKART（請求タイプ，CHAR 4），长度兼容（1≤4）。同一対向系统的稳定指纹优先采纳。。备选：VBAK.AUART（販売伝票タイプ） / RBKP.VGART（取引タイプ）。AI 推断仅作参考，请务必人工复核。</t>
        </is>
      </c>
    </row>
    <row r="9" ht="23.1" customHeight="1" s="76">
      <c r="A9" s="99" t="n">
        <v>7</v>
      </c>
      <c r="B9" s="100" t="inlineStr">
        <is>
          <t>03</t>
        </is>
      </c>
      <c r="C9" s="89" t="inlineStr">
        <is>
          <t>実在庫数</t>
        </is>
      </c>
      <c r="D9" s="101" t="inlineStr">
        <is>
          <t>SJZK</t>
        </is>
      </c>
      <c r="E9" s="100" t="inlineStr">
        <is>
          <t>C</t>
        </is>
      </c>
      <c r="F9" s="102" t="n">
        <v>7</v>
      </c>
      <c r="G9" s="103" t="n"/>
      <c r="H9" s="104">
        <f>SUM(H8,I8)</f>
        <v/>
      </c>
      <c r="I9" s="102" t="n">
        <v>7</v>
      </c>
      <c r="J9" s="104" t="n"/>
      <c r="K9" s="105" t="n"/>
      <c r="L9" s="106" t="n"/>
      <c r="M9" s="107" t="inlineStr">
        <is>
          <t>[AI推测] MARD.LABST（利用可能評価在庫）</t>
        </is>
      </c>
      <c r="N9" s="108" t="inlineStr">
        <is>
          <t>★（AI推测）</t>
        </is>
      </c>
      <c r="O9" s="109" t="inlineStr">
        <is>
          <t>AI 推测（无历史直接命中，信心 0.78）：推荐「利用可能評価在庫」（MARD.LABST）——字段名『実在庫数』直接对应 SAP 库存量；本接口为『塗装包装中在庫連携』，外部 → SAP 写入保管场所级别在庫数。类型/长度上 C(7) 不在禁用区间 C(1-5) 内，可承载 7 位整数（≤9,999,999），与 SAP QUAN(13,3) 数值兼容（外部以右对齐数字字符传入，SAP 内部转 QUAN）；语义上是真正的物理在庫数量而非 API 聚合计数，符合 QUAN 用法。。备选：MCHB.CLABS（バッチ利用可能評価在庫） / MSEG.ERFMG（入力単位での数量）。AI 推断仅作参考，请务必人工复核。</t>
        </is>
      </c>
    </row>
    <row r="10" ht="23.1" customHeight="1" s="76">
      <c r="A10" s="99" t="n">
        <v>8</v>
      </c>
      <c r="B10" s="100" t="inlineStr">
        <is>
          <t>03</t>
        </is>
      </c>
      <c r="C10" s="89" t="inlineStr">
        <is>
          <t>符号</t>
        </is>
      </c>
      <c r="D10" s="101" t="inlineStr">
        <is>
          <t>CFUGO2</t>
        </is>
      </c>
      <c r="E10" s="100" t="inlineStr">
        <is>
          <t>C</t>
        </is>
      </c>
      <c r="F10" s="102" t="n">
        <v>1</v>
      </c>
      <c r="G10" s="103" t="n"/>
      <c r="H10" s="104">
        <f>SUM(H9,I9)</f>
        <v/>
      </c>
      <c r="I10" s="102" t="n">
        <v>1</v>
      </c>
      <c r="J10" s="104" t="n"/>
      <c r="K10" s="105" t="n"/>
      <c r="L10" s="106" t="n"/>
      <c r="M10" s="107" t="inlineStr">
        <is>
          <t>[AI推测] VBRK.FKART（請求タイプ）</t>
        </is>
      </c>
      <c r="N10" s="108" t="inlineStr">
        <is>
          <t>★（AI推测）</t>
        </is>
      </c>
      <c r="O10" s="109" t="inlineStr">
        <is>
          <t>AI 推测（无历史直接命中，信心 0.72）：推荐「請求タイプ」（VBRK.FKART）——C(1) 短字符，符合 SAP CHAR(4) FKART 的类型/长度兼容（CHAR 字段允许更短输入）；対向系统 SPI(CS) 画像中『符号（受注数）/符号（未指示数）/符号（出庫数）/符号（出荷指示数）』均稳定映射到 VBRK.FKART，本字段名仅为『符号』属同一语义家族，沿用该指纹。。备选：RBKP.VGART（取引タイプ） / VBAP.ABGRU（拒否理由）。AI 推断仅作参考，请务必人工复核。</t>
        </is>
      </c>
    </row>
    <row r="11" ht="23.1" customHeight="1" s="76">
      <c r="A11" s="99" t="n">
        <v>9</v>
      </c>
      <c r="B11" s="100" t="inlineStr">
        <is>
          <t>03</t>
        </is>
      </c>
      <c r="C11" s="89" t="inlineStr">
        <is>
          <t>有効在庫数</t>
        </is>
      </c>
      <c r="D11" s="101" t="inlineStr">
        <is>
          <t>SUZK</t>
        </is>
      </c>
      <c r="E11" s="100" t="inlineStr">
        <is>
          <t>C</t>
        </is>
      </c>
      <c r="F11" s="102" t="n">
        <v>7</v>
      </c>
      <c r="G11" s="103" t="n"/>
      <c r="H11" s="104">
        <f>SUM(H10,I10)</f>
        <v/>
      </c>
      <c r="I11" s="102" t="n">
        <v>7</v>
      </c>
      <c r="J11" s="104" t="n"/>
      <c r="K11" s="111" t="n"/>
      <c r="L11" s="106" t="n"/>
      <c r="M11" s="107" t="inlineStr">
        <is>
          <t>[AI推测] MARD.LABST（利用可能評価在庫）</t>
        </is>
      </c>
      <c r="N11" s="108" t="inlineStr">
        <is>
          <t>AI推测 需复核</t>
        </is>
      </c>
      <c r="O11" s="109" t="inlineStr">
        <is>
          <t>AI 推测（无历史直接命中，信心 0.78）：推荐「利用可能評価在庫」（MARD.LABST）——业务名『塗装包装中在庫連携データ』+ 入向（外部→SAP）+ 字段名『有効在庫数』≈ 利用可能/有効在庫，对应 MARD.LABST（保管場所単位の利用可能在庫）。类型/长度：MARD.LABST 是 QUAN(13,3)，本字段 C(7) 为 JIS 接口常见的右詰0埋め整数串（最大 9,999,999），仅传整数件数时与 QUAN 在数值范围与精度上兼容（无小数→整数侧落地无精度损失）；属于 C(6-10) 中以数值串承载数量的合理用法，与告警重点 C(1-5) 短码不同。。备选：MCHB.CLABS（自由利用可能評価在庫） / MARC.LABST（利用可能評価在庫(プラント)）。AI 推断仅作参考，请务必人工复核。</t>
        </is>
      </c>
    </row>
    <row r="12" ht="23.1" customHeight="1" s="76">
      <c r="A12" s="99" t="inlineStr">
        <is>
          <t>10</t>
        </is>
      </c>
      <c r="B12" s="100" t="inlineStr">
        <is>
          <t>03</t>
        </is>
      </c>
      <c r="C12" s="89" t="inlineStr">
        <is>
          <t>符号</t>
        </is>
      </c>
      <c r="D12" s="101" t="inlineStr">
        <is>
          <t>CFUGO3</t>
        </is>
      </c>
      <c r="E12" s="100" t="inlineStr">
        <is>
          <t>C</t>
        </is>
      </c>
      <c r="F12" s="102" t="n">
        <v>1</v>
      </c>
      <c r="G12" s="103" t="n"/>
      <c r="H12" s="104">
        <f>SUM(H11,I11)</f>
        <v/>
      </c>
      <c r="I12" s="102" t="n">
        <v>1</v>
      </c>
      <c r="J12" s="104" t="n"/>
      <c r="K12" s="111" t="n"/>
      <c r="L12" s="106" t="n"/>
      <c r="M12" s="107" t="inlineStr">
        <is>
          <t>[AI推测] VBRK.FKART（請求タイプ）</t>
        </is>
      </c>
      <c r="N12" s="108" t="inlineStr">
        <is>
          <t>★（AI推测）</t>
        </is>
      </c>
      <c r="O12" s="109" t="inlineStr">
        <is>
          <t>AI 推测（无历史直接命中，信心 0.78）：推荐「請求タイプ」（VBRK.FKART）——C(1) 短字符，类型/长度与 SAP CHAR 短代码字段兼容。知识库中該対向系统(SPI(CS))历史接口里『符号（受注数）』『符号（未指示数）』『符号（出庫数）』『符号（出荷指示数）』均稳定映到 VBRK.FKART(請求タイプ)，本字段名『符号』在塗装包装中在庫連携(出荷/在庫家族)上下文中沿用同一指纹，最优先采纳。。备选：RBKP.VGART（取引タイプ） / VBAK.AUART（販売伝票タイプ）。AI 推断仅作参考，请务必人工复核。</t>
        </is>
      </c>
    </row>
    <row r="13" ht="23.1" customHeight="1" s="76">
      <c r="A13" s="99" t="inlineStr">
        <is>
          <t>11</t>
        </is>
      </c>
      <c r="B13" s="100" t="inlineStr">
        <is>
          <t>03</t>
        </is>
      </c>
      <c r="C13" s="112" t="inlineStr">
        <is>
          <t>保険在庫数</t>
        </is>
      </c>
      <c r="D13" s="113" t="inlineStr">
        <is>
          <t>SHZK</t>
        </is>
      </c>
      <c r="E13" s="100" t="inlineStr">
        <is>
          <t>C</t>
        </is>
      </c>
      <c r="F13" s="102" t="n">
        <v>7</v>
      </c>
      <c r="G13" s="103" t="n"/>
      <c r="H13" s="104">
        <f>SUM(H12,I12)</f>
        <v/>
      </c>
      <c r="I13" s="102" t="n">
        <v>7</v>
      </c>
      <c r="J13" s="104" t="n"/>
      <c r="K13" s="105" t="n"/>
      <c r="L13" s="106" t="n"/>
      <c r="M13" s="107" t="inlineStr">
        <is>
          <t>[AI推测] MARC.EISBE（安全在庫）</t>
        </is>
      </c>
      <c r="N13" s="108" t="inlineStr">
        <is>
          <t>★（AI推测）</t>
        </is>
      </c>
      <c r="O13" s="109" t="inlineStr">
        <is>
          <t>AI 推测（无历史直接命中，信心 0.55）：推荐「安全在庫」（MARC.EISBE）——『保険在庫』在日系制造业语境中常指『安全在庫』（保险/缓冲库存），与 MARC.EISBE 语义吻合；类型方面 EISBE 为 QUAN(13,3)，接口侧 C(7) 可容纳 0–9,999,999 的整数件数，作为不带小数的库存数承载兼容（C(7) 已超出 C(1-5) 短字符告警区间，且本接口已含 VBAP.MATNR 的品目维度，按品目维护安全库存合理）。备选：MARD.LABST（利用可能評価在庫） / MARD.INSME（品質検査在庫）。AI 推断仅作参考，请务必人工复核。</t>
        </is>
      </c>
    </row>
    <row r="14" ht="23.1" customHeight="1" s="76">
      <c r="A14" s="99" t="inlineStr">
        <is>
          <t>12</t>
        </is>
      </c>
      <c r="B14" s="100" t="inlineStr">
        <is>
          <t>03</t>
        </is>
      </c>
      <c r="C14" s="89" t="inlineStr">
        <is>
          <t>符号</t>
        </is>
      </c>
      <c r="D14" s="101" t="inlineStr">
        <is>
          <t>CFUGO4</t>
        </is>
      </c>
      <c r="E14" s="100" t="inlineStr">
        <is>
          <t>C</t>
        </is>
      </c>
      <c r="F14" s="102" t="n">
        <v>1</v>
      </c>
      <c r="G14" s="103" t="n"/>
      <c r="H14" s="104">
        <f>SUM(H13,I13)</f>
        <v/>
      </c>
      <c r="I14" s="102" t="n">
        <v>1</v>
      </c>
      <c r="J14" s="104" t="n"/>
      <c r="K14" s="111" t="n"/>
      <c r="L14" s="106" t="n"/>
      <c r="M14" s="114" t="inlineStr">
        <is>
          <t>[AI推测] MSEG.SHKZG（借方/貸方記号）</t>
        </is>
      </c>
      <c r="N14" s="115" t="inlineStr">
        <is>
          <t>★（AI推测）</t>
        </is>
      </c>
      <c r="O14" s="116" t="inlineStr">
        <is>
          <t>AI 推测（无历史直接命中，信心 0.55）：推荐「借方/貸方記号」（MSEG.SHKZG）——类型/长度严格匹配：MSEG.SHKZG 是 SAP CHAR(1) 的标准『借/贷符号』(S/H)，与本字段 C(1) 完全兼容。本接口为『塗装包装中在庫連携データ』入向消息，业务上是工程内在库的移动通知，单字符『符号』在该场景的最常见语义是入出库 +/- 方向标志，正好对应 MSEG 物料凭证的借贷指示符。。备选：MARA.XCHPF（ロット管理対象） / VBAP.PSTYV（販売伝票明細カテゴリ）。AI 推断仅作参考，请务必人工复核。</t>
        </is>
      </c>
    </row>
    <row r="15" ht="23.1" customHeight="1" s="76">
      <c r="A15" s="99" t="inlineStr">
        <is>
          <t>13</t>
        </is>
      </c>
      <c r="B15" s="100" t="inlineStr">
        <is>
          <t>03</t>
        </is>
      </c>
      <c r="C15" s="110" t="inlineStr">
        <is>
          <t>キューイング数</t>
        </is>
      </c>
      <c r="D15" s="113" t="inlineStr">
        <is>
          <t>SQIG</t>
        </is>
      </c>
      <c r="E15" s="100" t="inlineStr">
        <is>
          <t>C</t>
        </is>
      </c>
      <c r="F15" s="102" t="n">
        <v>7</v>
      </c>
      <c r="G15" s="103" t="n"/>
      <c r="H15" s="104">
        <f>SUM(H14,I14)</f>
        <v/>
      </c>
      <c r="I15" s="102" t="n">
        <v>7</v>
      </c>
      <c r="J15" s="104" t="n"/>
      <c r="K15" s="111" t="n"/>
      <c r="L15" s="106" t="n"/>
      <c r="M15" s="98" t="inlineStr">
        <is>
          <t>（无历史映射 — 可能为接口内部字段）</t>
        </is>
      </c>
      <c r="N15" s="98" t="inlineStr">
        <is>
          <t>—</t>
        </is>
      </c>
      <c r="O15" s="98" t="inlineStr">
        <is>
          <t>业务词典判定：[AI 判断] 『キューイング数』は型 C(7) の短い文字列で、業務上の『数量』ではなくインターフェース側のキュー件数（API 集計のカウンタ）と判断する。SAP の数量フィールド（LIPS.LFIMG / VBAP.KWMENG / EBAN.MENGE 等）は QUAN(13,3) の精確数値設計であり、C(7) では型・精度ともに不適合。さらに本接口は『塗装包装中在庫連携』の入向（外部→SAP）データで、品番(BHIN)→VBAP.MATNR のみが確定しており、受注/出荷/購買依頼いずれの伝票数量とも文脈が一致しない。SPI(CS) 画像にも『キューイング数』と安定対応する SAP 数量フィールドの指紋は無い。よってインターフェース内部のキュー管理用フィールドとして SAP 側へはマッピングしない。</t>
        </is>
      </c>
    </row>
    <row r="16" ht="23.1" customHeight="1" s="76">
      <c r="A16" s="99" t="inlineStr">
        <is>
          <t>14</t>
        </is>
      </c>
      <c r="B16" s="100" t="inlineStr">
        <is>
          <t>03</t>
        </is>
      </c>
      <c r="C16" s="89" t="inlineStr">
        <is>
          <t>符号</t>
        </is>
      </c>
      <c r="D16" s="101" t="inlineStr">
        <is>
          <t>CFUGO5</t>
        </is>
      </c>
      <c r="E16" s="100" t="inlineStr">
        <is>
          <t>C</t>
        </is>
      </c>
      <c r="F16" s="102" t="n">
        <v>1</v>
      </c>
      <c r="G16" s="103" t="n"/>
      <c r="H16" s="104">
        <f>SUM(H15,I15)</f>
        <v/>
      </c>
      <c r="I16" s="102" t="n">
        <v>1</v>
      </c>
      <c r="J16" s="104" t="n"/>
      <c r="K16" s="111" t="n"/>
      <c r="L16" s="106" t="n"/>
      <c r="M16" s="114" t="inlineStr">
        <is>
          <t>[AI推测] MSEG.SHKZG（借方/貸方インジケータ）</t>
        </is>
      </c>
      <c r="N16" s="115" t="inlineStr">
        <is>
          <t>★（AI推测）</t>
        </is>
      </c>
      <c r="O16" s="116" t="inlineStr">
        <is>
          <t>AI 推测（无历史直接命中，信心 0.55）：推荐「借方/貸方インジケータ」（MSEG.SHKZG）——类型兼容：MSEG.SHKZG 是 SAP 标准 CHAR(1) 字段（取值 'S'/'H'），与本字段 C(1) 长度精确一致。业务兼容：本接口为『塗装包装中在庫連携』入向数据，C(1) 命名为『符号』在在庫移動场景下最常见的语义就是数量正负的借贷标识（入庫=S/出庫=H）。历史画像中『符号（受注数/出庫数）』虽映到 VBRK.FKART，但那都是 C(2)/C(4) 字段，与本字段 C(1) 长度不兼容，不能直接照搬。。备选：VBUP.LFGSA（全納入ステータス） / MARA.LVORM（全社レベルでの削除フラグ）。AI 推断仅作参考，请务必人工复核。</t>
        </is>
      </c>
    </row>
    <row r="17" ht="23.1" customHeight="1" s="76">
      <c r="A17" s="99" t="inlineStr">
        <is>
          <t>15</t>
        </is>
      </c>
      <c r="B17" s="100" t="inlineStr">
        <is>
          <t>03</t>
        </is>
      </c>
      <c r="C17" s="110" t="inlineStr">
        <is>
          <t>完備中在庫数</t>
        </is>
      </c>
      <c r="D17" s="113" t="inlineStr">
        <is>
          <t>SKBCZAI</t>
        </is>
      </c>
      <c r="E17" s="100" t="inlineStr">
        <is>
          <t>C</t>
        </is>
      </c>
      <c r="F17" s="102" t="n">
        <v>7</v>
      </c>
      <c r="G17" s="103" t="n"/>
      <c r="H17" s="104">
        <f>SUM(H16,I16)</f>
        <v/>
      </c>
      <c r="I17" s="102" t="n">
        <v>7</v>
      </c>
      <c r="J17" s="104" t="n"/>
      <c r="K17" s="111" t="n"/>
      <c r="L17" s="106" t="n"/>
      <c r="M17" s="98" t="inlineStr">
        <is>
          <t>（无历史映射 — 可能为接口内部字段）</t>
        </is>
      </c>
      <c r="N17" s="98" t="inlineStr">
        <is>
          <t>—</t>
        </is>
      </c>
      <c r="O17" s="98" t="inlineStr">
        <is>
          <t>业务词典判定：[AI 判断] 字段为 C(7) 短字符型，但语义为『在庫数（数量）』。SAP 中真正的在庫数量字段（如 MARD.LABST、MCHB.CLABS、MSKU.KULAB 等）均为 QUAN 类型，精度 13+3，短 C(7) 类型不兼容——若强塞 QUAN 字段会丢失精度且违反类型契约。同时本接口已确定字段集中只有 VBAP.MATNR（受注/销售上下文），无任何在庫管理（MARD/MCHB/MSEG/MKPF）相关结构，缺乏在庫主表落点。再结合『塗装包装中在庫連携』的语境，C(7) 的『完備中在庫数』更可能是外部系统在塗装/包装工序聚合后的件数统计值（API 侧计数），属于接口内部业务字段，不直接对应 SAP 标准在庫表的某个数量列。建议 skip。</t>
        </is>
      </c>
    </row>
    <row r="18" ht="23.1" customHeight="1" s="76">
      <c r="A18" s="99" t="inlineStr">
        <is>
          <t>16</t>
        </is>
      </c>
      <c r="B18" s="100" t="inlineStr">
        <is>
          <t>03</t>
        </is>
      </c>
      <c r="C18" s="89" t="inlineStr">
        <is>
          <t>符号</t>
        </is>
      </c>
      <c r="D18" s="101" t="inlineStr">
        <is>
          <t>CFUGO6</t>
        </is>
      </c>
      <c r="E18" s="100" t="inlineStr">
        <is>
          <t>C</t>
        </is>
      </c>
      <c r="F18" s="102" t="n">
        <v>1</v>
      </c>
      <c r="G18" s="103" t="n"/>
      <c r="H18" s="104">
        <f>SUM(H17,I17)</f>
        <v/>
      </c>
      <c r="I18" s="102" t="n">
        <v>1</v>
      </c>
      <c r="J18" s="104" t="n"/>
      <c r="K18" s="111" t="n"/>
      <c r="L18" s="106" t="n"/>
      <c r="M18" s="107" t="inlineStr">
        <is>
          <t>[AI推测] MSEG.SHKZG（借方/貸方インジケータ）</t>
        </is>
      </c>
      <c r="N18" s="108" t="inlineStr">
        <is>
          <t>★（AI推测）</t>
        </is>
      </c>
      <c r="O18" s="109" t="inlineStr">
        <is>
          <t>AI 推测（无历史直接命中，信心 0.55）：推荐「借方/貸方インジケータ」（MSEG.SHKZG）——C(1) 完全匹配 SHKZG 的 CHAR(1) 长度。本接口为『塗装包装中在庫連携』属在庫移動上下文，MSEG.SHKZG（S=入庫/H=出庫）正是在庫移動侧最典型的『符号』——一字符的方向/借贷标识，与历史『符号』表示数量正负/方向的语义一致。。备选：RBKP.VGART（取引タイプ） / VBUP.WBSTA（出庫ステータス）。AI 推断仅作参考，请务必人工复核。</t>
        </is>
      </c>
    </row>
    <row r="19" ht="23.1" customHeight="1" s="76">
      <c r="A19" s="99" t="inlineStr">
        <is>
          <t>17</t>
        </is>
      </c>
      <c r="B19" s="100" t="inlineStr">
        <is>
          <t>03</t>
        </is>
      </c>
      <c r="C19" s="112" t="inlineStr">
        <is>
          <t>組合せ中在庫数</t>
        </is>
      </c>
      <c r="D19" s="113" t="inlineStr">
        <is>
          <t>SKACZAI</t>
        </is>
      </c>
      <c r="E19" s="100" t="inlineStr">
        <is>
          <t>C</t>
        </is>
      </c>
      <c r="F19" s="102" t="n">
        <v>7</v>
      </c>
      <c r="G19" s="103" t="n"/>
      <c r="H19" s="104">
        <f>SUM(H18,I18)</f>
        <v/>
      </c>
      <c r="I19" s="102" t="n">
        <v>7</v>
      </c>
      <c r="J19" s="104" t="n"/>
      <c r="K19" s="111" t="n"/>
      <c r="L19" s="106" t="n"/>
      <c r="M19" s="98" t="inlineStr">
        <is>
          <t>（无历史映射 — 可能为接口内部字段）</t>
        </is>
      </c>
      <c r="N19" s="98" t="inlineStr">
        <is>
          <t>—</t>
        </is>
      </c>
      <c r="O19" s="98" t="inlineStr">
        <is>
          <t>业务词典判定：[AI 判断] 字段类型为 C(7)，与 SAP 标准在库/数量字段（如 MARD.LABST/MCHB.CLABS/MSEG.MENGE 等 QUAN(13,3)）类型不兼容。按规则『短 C 字段表示的「数」多为 API 聚合的件数统计，应判 skip』——即便业务语义为「組合せ中在庫数」，也不应强塞到 QUAN 字段。备注为空，无 PIC 等数值化提示，无法判定为可转 QUAN 的字符化数值。建议作为接口内部传递的统计值处理，不映射到 SAP 标准在库主数据字段；如确需落库，应在设计阶段与业务确认源系统精度并改用合适数值类型。</t>
        </is>
      </c>
    </row>
    <row r="20" ht="23.1" customHeight="1" s="76">
      <c r="A20" s="99" t="inlineStr">
        <is>
          <t>18</t>
        </is>
      </c>
      <c r="B20" s="100" t="inlineStr">
        <is>
          <t>03</t>
        </is>
      </c>
      <c r="C20" s="89" t="inlineStr">
        <is>
          <t>符号</t>
        </is>
      </c>
      <c r="D20" s="101" t="inlineStr">
        <is>
          <t>CFUGO7</t>
        </is>
      </c>
      <c r="E20" s="100" t="inlineStr">
        <is>
          <t>C</t>
        </is>
      </c>
      <c r="F20" s="102" t="n">
        <v>1</v>
      </c>
      <c r="G20" s="103" t="n"/>
      <c r="H20" s="104">
        <f>SUM(H19,I19)</f>
        <v/>
      </c>
      <c r="I20" s="102" t="n">
        <v>1</v>
      </c>
      <c r="J20" s="104" t="n"/>
      <c r="K20" s="111" t="n"/>
      <c r="L20" s="106" t="n"/>
      <c r="M20" s="107" t="inlineStr">
        <is>
          <t>[AI推测] MSEG.SHKZG（借方/貸方表示）</t>
        </is>
      </c>
      <c r="N20" s="108" t="inlineStr">
        <is>
          <t>★（AI推测）</t>
        </is>
      </c>
      <c r="O20" s="109" t="inlineStr">
        <is>
          <t>AI 推测（无历史直接命中，信心 0.78）：推荐「借方/貸方表示」（MSEG.SHKZG）——类型/长度：MSEG-SHKZG 是 CHAR(1)，与本字段 C(1) 完全一致。业务语义：本接口为 塗装包装中在庫連携（入庫/出庫）入向数据，'符号' 在在庫移動文脈下典型即指『借方(S)/貸方(H)』的入出方向标识——SAP 在 MSEG 中以单字符 S/H 表达数量的增减符号，是 SAP 在庫移動明細中表示 +/- 符号的标准字段。。备选：MSEG.KZBEW（移動表示） / MSEG.KZVBR（使用方法）。AI 推断仅作参考，请务必人工复核。</t>
        </is>
      </c>
    </row>
    <row r="21" ht="23.1" customHeight="1" s="76">
      <c r="A21" s="99" t="inlineStr">
        <is>
          <t>19</t>
        </is>
      </c>
      <c r="B21" s="100" t="inlineStr">
        <is>
          <t>03</t>
        </is>
      </c>
      <c r="C21" s="112" t="inlineStr">
        <is>
          <t>パッケージ中在庫数</t>
        </is>
      </c>
      <c r="D21" s="113" t="inlineStr">
        <is>
          <t>SPACZAI</t>
        </is>
      </c>
      <c r="E21" s="100" t="inlineStr">
        <is>
          <t>C</t>
        </is>
      </c>
      <c r="F21" s="102" t="n">
        <v>7</v>
      </c>
      <c r="G21" s="103" t="n"/>
      <c r="H21" s="104">
        <f>SUM(H20,I20)</f>
        <v/>
      </c>
      <c r="I21" s="102" t="n">
        <v>7</v>
      </c>
      <c r="J21" s="104" t="n"/>
      <c r="K21" s="111" t="n"/>
      <c r="L21" s="106" t="n"/>
      <c r="M21" s="107" t="inlineStr">
        <is>
          <t>[AI推测] MARD.LABST（利用可能在庫）</t>
        </is>
      </c>
      <c r="N21" s="108" t="inlineStr">
        <is>
          <t>★（AI推测）</t>
        </is>
      </c>
      <c r="O21" s="109" t="inlineStr">
        <is>
          <t>AI 推测（无历史直接命中，信心 0.55）：推荐「利用可能在庫」（MARD.LABST）——本接口业务名为『塗装包装中在庫連携データ』，方向为外部→SAP的在庫データ；字段名『パッケージ中在庫数』直指在庫数量，已确定字段含 VBAP.MATNR（品番）说明对象是品目级在庫。C(7) 为整数件数（最大 9,999,999），与 MARD.LABST 的 QUAN(13,3) 在数值范围与语义上兼容——QUAN 容得下 C(7) 整数，无小数即视为整数件数；与短 C 严禁映 LFIMG/KWMENG 的禁忌不同，库存件数本就常以整数承载。备选：MARD.INSME（品質検査中数量） / MCHB.CLABS（バッチ別利用可能在庫）。AI 推断仅作参考，请务必人工复核。</t>
        </is>
      </c>
    </row>
    <row r="22" ht="23.1" customHeight="1" s="76">
      <c r="A22" s="99" t="inlineStr">
        <is>
          <t>20</t>
        </is>
      </c>
      <c r="B22" s="100" t="inlineStr">
        <is>
          <t>03</t>
        </is>
      </c>
      <c r="C22" s="89" t="inlineStr">
        <is>
          <t>符号</t>
        </is>
      </c>
      <c r="D22" s="101" t="inlineStr">
        <is>
          <t>CFUGO8</t>
        </is>
      </c>
      <c r="E22" s="100" t="inlineStr">
        <is>
          <t>C</t>
        </is>
      </c>
      <c r="F22" s="102" t="n">
        <v>1</v>
      </c>
      <c r="G22" s="103" t="n"/>
      <c r="H22" s="104">
        <f>SUM(H21,I21)</f>
        <v/>
      </c>
      <c r="I22" s="102" t="n">
        <v>1</v>
      </c>
      <c r="J22" s="104" t="n"/>
      <c r="K22" s="111" t="n"/>
      <c r="L22" s="106" t="n"/>
      <c r="M22" s="114" t="inlineStr">
        <is>
          <t>[AI推测] MSEG.SHKZG（借/貸方表示）</t>
        </is>
      </c>
      <c r="N22" s="115" t="inlineStr">
        <is>
          <t>★（AI推测）</t>
        </is>
      </c>
      <c r="O22" s="116" t="inlineStr">
        <is>
          <t>AI 推测（无历史直接命中，信心 0.55）：推荐「借/貸方表示」（MSEG.SHKZG）——業務は在庫連携（塗装包装中在庫）で、字段名『符号』+ C(1) はちょうど SAP の借/貸方サイン（S=借方/H=貸方、CHAR(1)）と長さ完全一致。在庫移動における入庫/出庫の符号を 1 文字で表す典型パターン。歴史上『符号』が FKART/VGART (CHAR(4)) に当たっていたのは販売・購買伝票タイプの場合だが、本字段は C(1) のため長さで不適合となり、在庫系の符号フィールドに落ちる。。备选：MSEG.KZBEW（移動表示） / MKPF.VGART（取引タイプ）。AI 推断仅作参考，请务必人工复核。</t>
        </is>
      </c>
    </row>
    <row r="23" ht="23.1" customHeight="1" s="76">
      <c r="A23" s="99" t="n">
        <v>21</v>
      </c>
      <c r="B23" s="100" t="inlineStr">
        <is>
          <t>03</t>
        </is>
      </c>
      <c r="C23" s="110" t="inlineStr">
        <is>
          <t>輸送中在庫数</t>
        </is>
      </c>
      <c r="D23" s="113" t="inlineStr">
        <is>
          <t>SYSCZAI</t>
        </is>
      </c>
      <c r="E23" s="100" t="inlineStr">
        <is>
          <t>C</t>
        </is>
      </c>
      <c r="F23" s="102" t="n">
        <v>7</v>
      </c>
      <c r="G23" s="103" t="n"/>
      <c r="H23" s="104">
        <f>SUM(H22,I22)</f>
        <v/>
      </c>
      <c r="I23" s="102" t="n">
        <v>7</v>
      </c>
      <c r="J23" s="104" t="n"/>
      <c r="K23" s="111" t="n"/>
      <c r="L23" s="106" t="n"/>
      <c r="M23" s="98" t="inlineStr">
        <is>
          <t>（无历史映射 — 可能为接口内部字段）</t>
        </is>
      </c>
      <c r="N23" s="98" t="inlineStr">
        <is>
          <t>—</t>
        </is>
      </c>
      <c r="O23" s="98" t="inlineStr">
        <is>
          <t>业务词典判定：[AI 判断] 项目名『輸送中在庫数』语义上是数量字段（在途/移動中在庫），但类型 C(7) 为短字符串，与 SAP 标准在庫数量字段（MARD.LABST、MARD.UMLME、MARC.UMLMC 等 QUAN(13,3)）类型不兼容——QUAN 需要 13+3 精度的数值型，短 C 字段无法承载小数位。按字典规则，短 C(7) 表示的『数』多为 API 聚合的整数件数统计或代码型字段；规则明确指出此种情况宁可 skip 也不要强塞 LFIMG/KWMENG/UMLME。建议先与源端确认该字段是否实际为整数件数统计或定长包装数（若为后者，可能是接口侧约定的展示长度而非真实精度），再决定是否对应到 SAP QUAN 字段。如确为短字符件数，则属于接口内部字段不需映射。</t>
        </is>
      </c>
    </row>
    <row r="24" ht="23.1" customHeight="1" s="76">
      <c r="A24" s="99" t="n">
        <v>22</v>
      </c>
      <c r="B24" s="100" t="inlineStr">
        <is>
          <t>03</t>
        </is>
      </c>
      <c r="C24" s="89" t="inlineStr">
        <is>
          <t>符号</t>
        </is>
      </c>
      <c r="D24" s="101" t="inlineStr">
        <is>
          <t>CFUGO9</t>
        </is>
      </c>
      <c r="E24" s="100" t="inlineStr">
        <is>
          <t>C</t>
        </is>
      </c>
      <c r="F24" s="102" t="n">
        <v>1</v>
      </c>
      <c r="G24" s="103" t="n"/>
      <c r="H24" s="104">
        <f>SUM(H23,I23)</f>
        <v/>
      </c>
      <c r="I24" s="102" t="n">
        <v>1</v>
      </c>
      <c r="J24" s="104" t="n"/>
      <c r="K24" s="105" t="n"/>
      <c r="L24" s="106" t="n"/>
      <c r="M24" s="107" t="inlineStr">
        <is>
          <t>[AI推测] VBRK.FKART（請求タイプ）</t>
        </is>
      </c>
      <c r="N24" s="108" t="inlineStr">
        <is>
          <t>★（AI推测）</t>
        </is>
      </c>
      <c r="O24" s="109" t="inlineStr">
        <is>
          <t>AI 推测（无历史直接命中，信心 0.78）：推荐「請求タイプ」（VBRK.FKART）——C(1) 短字符代码，类型兼容 FKART (CHAR 4)。対向系统 SPI(CS) 画像中『符号（受注数）/符号（未指示数）/符号（出庫数）/符号（出荷指示数）』稳定映到 VBRK.FKART ×8，本接口业务名『塗装包装中在庫連携』也属同系出荷/在庫场景，沿用画像最稳定指纹。。备选：RBKP.VGART（取引タイプ） / VBAP.ABGRU（販売伝票の理由）。AI 推断仅作参考，请务必人工复核。</t>
        </is>
      </c>
    </row>
    <row r="25" ht="23.1" customHeight="1" s="76">
      <c r="A25" s="99" t="n">
        <v>23</v>
      </c>
      <c r="B25" s="100" t="inlineStr">
        <is>
          <t>03</t>
        </is>
      </c>
      <c r="C25" s="110" t="inlineStr">
        <is>
          <t>出品機在庫数</t>
        </is>
      </c>
      <c r="D25" s="113" t="inlineStr">
        <is>
          <t>SSPKZAI</t>
        </is>
      </c>
      <c r="E25" s="100" t="inlineStr">
        <is>
          <t>C</t>
        </is>
      </c>
      <c r="F25" s="102" t="n">
        <v>7</v>
      </c>
      <c r="G25" s="103" t="n"/>
      <c r="H25" s="104">
        <f>SUM(H24,I24)</f>
        <v/>
      </c>
      <c r="I25" s="102" t="n">
        <v>7</v>
      </c>
      <c r="J25" s="104" t="n"/>
      <c r="K25" s="105" t="n"/>
      <c r="L25" s="106" t="n"/>
      <c r="M25" s="107" t="inlineStr">
        <is>
          <t>[AI推测] MARD.LABST（利用可能評価在庫）</t>
        </is>
      </c>
      <c r="N25" s="108" t="inlineStr">
        <is>
          <t>AI推测 需复核</t>
        </is>
      </c>
      <c r="O25" s="109" t="inlineStr">
        <is>
          <t>AI 推测（无历史直接命中，信心 0.55）：推荐「利用可能評価在庫」（MARD.LABST）——字段名『出品機在庫数』+ 业务『塗装包装中在庫連携』+ 入向接口，语义为某出品/出口工程机台的在庫数量，最匹配 MARD（保管場所別在庫）的 LABST。类型方面：C(7) 不带小数，等价 PIC 9(7)，可承载 0–9,999,999 的整数件数，落到 SAP QUAN(13,3) 的 LABST 时高位足够、小数位补 0，是入向接口常见的整数件数→QUAN 写入约定（接口侧用 N/C 数字串，进 SAP ABAP 转 P 类型即可），不存在精度溢出。。备选：MCHB.CLABS（バッチの利用可能評価在庫） / MSEG.MENGE（入出庫転記の数量）。AI 推断仅作参考，请务必人工复核。</t>
        </is>
      </c>
    </row>
    <row r="26" ht="23.1" customHeight="1" s="76">
      <c r="A26" s="99" t="n">
        <v>24</v>
      </c>
      <c r="B26" s="100" t="inlineStr">
        <is>
          <t>03</t>
        </is>
      </c>
      <c r="C26" s="89" t="inlineStr">
        <is>
          <t>符号</t>
        </is>
      </c>
      <c r="D26" s="101" t="inlineStr">
        <is>
          <t>CFUGO10</t>
        </is>
      </c>
      <c r="E26" s="100" t="inlineStr">
        <is>
          <t>C</t>
        </is>
      </c>
      <c r="F26" s="102" t="n">
        <v>1</v>
      </c>
      <c r="G26" s="103" t="n"/>
      <c r="H26" s="104">
        <f>SUM(H25,I25)</f>
        <v/>
      </c>
      <c r="I26" s="102" t="n">
        <v>1</v>
      </c>
      <c r="J26" s="104" t="n"/>
      <c r="K26" s="105" t="n"/>
      <c r="L26" s="106" t="n"/>
      <c r="M26" s="107" t="inlineStr">
        <is>
          <t>[AI推测] VBRK.FKART（請求タイプ）</t>
        </is>
      </c>
      <c r="N26" s="108" t="inlineStr">
        <is>
          <t>★（AI推测）</t>
        </is>
      </c>
      <c r="O26" s="109" t="inlineStr">
        <is>
          <t>AI 推测（无历史直接命中，信心 0.78）：推荐「請求タイプ」（VBRK.FKART）——C(1) 短字符，SAP CHAR(4) 兼容（长度足够）；対向系统 SPI(CS) 画像中『符号（受注数/未指示数/出荷指示数/出庫数）』均稳定映到 VBRK.FKART ×2~×3，知识库关键词命中也全部指向此字段；本接口虽含 VBAP（受注明細），但符号类区分码在该対向系统语义稳定，FKART 是首选区分代码字段。。备选：VBAK.AUART（販売伝票タイプ） / LIKP.LFART（出荷タイプ）。AI 推断仅作参考，请务必人工复核。</t>
        </is>
      </c>
    </row>
    <row r="27" ht="22.5" customHeight="1" s="76">
      <c r="A27" s="99" t="n">
        <v>25</v>
      </c>
      <c r="B27" s="100" t="inlineStr">
        <is>
          <t>03</t>
        </is>
      </c>
      <c r="C27" s="110" t="inlineStr">
        <is>
          <t>積送未出荷数</t>
        </is>
      </c>
      <c r="D27" s="113" t="inlineStr">
        <is>
          <t>SSSOMSK</t>
        </is>
      </c>
      <c r="E27" s="100" t="inlineStr">
        <is>
          <t>C</t>
        </is>
      </c>
      <c r="F27" s="102" t="n">
        <v>7</v>
      </c>
      <c r="G27" s="103" t="n"/>
      <c r="H27" s="104">
        <f>SUM(H26,I26)</f>
        <v/>
      </c>
      <c r="I27" s="102" t="n">
        <v>7</v>
      </c>
      <c r="J27" s="104" t="n"/>
      <c r="K27" s="105" t="n"/>
      <c r="L27" s="106" t="n"/>
      <c r="M27" s="98" t="inlineStr">
        <is>
          <t>（无历史映射 — 可能为接口内部字段）</t>
        </is>
      </c>
      <c r="N27" s="98" t="inlineStr">
        <is>
          <t>—</t>
        </is>
      </c>
      <c r="O27" s="98" t="inlineStr">
        <is>
          <t>业务词典判定：[AI 判断] 字段类型 C(7) 与 SAP 数量字段（QUAN，精度 13+3）不兼容。按类型/长度规则：C(6-10) 多为编码/ID（注番、品番、伝票番号），而非数值数量；真正的『未出荷数量』在 SAP 端通常已通过 LIPS.LFIMG（出荷数量）+ VBAP.KWMENG（累積受注数量） 由系统自动计算（KWMENG - 累積出荷量），不会作为外部输入字段写入。此处 C(7) 的『積送未出荷数』很可能是外部系统对塗装包装中在庫的件数统计/聚合值，作为参考信息附带传输，不需要也不应反向覆盖 SAP 端 QUAN 字段。候选字段 LFIMG/KWMENG/MENGE 全部为 QUAN 类型，强塞会损失精度并污染 SAP 计算结果。判定为接口内部参考字段，不映射。</t>
        </is>
      </c>
    </row>
    <row r="28" ht="23.1" customHeight="1" s="76">
      <c r="A28" s="99" t="n">
        <v>26</v>
      </c>
      <c r="B28" s="100" t="inlineStr">
        <is>
          <t>03</t>
        </is>
      </c>
      <c r="C28" s="89" t="inlineStr">
        <is>
          <t>符号</t>
        </is>
      </c>
      <c r="D28" s="101" t="inlineStr">
        <is>
          <t>CFUGO11</t>
        </is>
      </c>
      <c r="E28" s="100" t="inlineStr">
        <is>
          <t>C</t>
        </is>
      </c>
      <c r="F28" s="102" t="n">
        <v>1</v>
      </c>
      <c r="G28" s="103" t="n"/>
      <c r="H28" s="104">
        <f>SUM(H27,I27)</f>
        <v/>
      </c>
      <c r="I28" s="102" t="n">
        <v>1</v>
      </c>
      <c r="J28" s="104" t="n"/>
      <c r="K28" s="105" t="n"/>
      <c r="L28" s="106" t="n"/>
      <c r="M28" s="114" t="inlineStr">
        <is>
          <t>[AI推测] MSEG.SHKZG（借方/貸方コード）</t>
        </is>
      </c>
      <c r="N28" s="115" t="inlineStr">
        <is>
          <t>★（AI推测）</t>
        </is>
      </c>
      <c r="O28" s="116" t="inlineStr">
        <is>
          <t>AI 推测（无历史直接命中，信心 0.62）：推荐「借方/貸方コード」（MSEG.SHKZG）——类型 CHAR(1) 与 MSEG.SHKZG（CHAR 1，值域 S/H）完全一致；语义上『符号』在在庫連携场景里最常见的就是数量正负方向（入庫=S/出庫=H），与本接口『塗装包装中在庫連携』方向（外→SAP 在庫）契合，单字符长度也排除了 FKART(C4)/VGART(C2) 等历史映射候选。。备选：VBUP.WBSTA（総合出庫ステータス） / VBAK.VBTYP（販売伝票カテゴリ）。AI 推断仅作参考，请务必人工复核。</t>
        </is>
      </c>
    </row>
    <row r="29" ht="23.1" customHeight="1" s="76">
      <c r="A29" s="99" t="n">
        <v>27</v>
      </c>
      <c r="B29" s="100" t="inlineStr">
        <is>
          <t>03</t>
        </is>
      </c>
      <c r="C29" s="110" t="inlineStr">
        <is>
          <t>積送側未指示数</t>
        </is>
      </c>
      <c r="D29" s="113" t="inlineStr">
        <is>
          <t>SSSGSSZ</t>
        </is>
      </c>
      <c r="E29" s="100" t="inlineStr">
        <is>
          <t>C</t>
        </is>
      </c>
      <c r="F29" s="102" t="n">
        <v>7</v>
      </c>
      <c r="G29" s="103" t="n"/>
      <c r="H29" s="104">
        <f>SUM(H28,I28)</f>
        <v/>
      </c>
      <c r="I29" s="102" t="n">
        <v>7</v>
      </c>
      <c r="J29" s="104" t="n"/>
      <c r="K29" s="105" t="n"/>
      <c r="L29" s="106" t="n"/>
      <c r="M29" s="98" t="inlineStr">
        <is>
          <t>（无历史映射 — 可能为接口内部字段）</t>
        </is>
      </c>
      <c r="N29" s="98" t="inlineStr">
        <is>
          <t>—</t>
        </is>
      </c>
      <c r="O29" s="98" t="inlineStr">
        <is>
          <t>业务词典判定：[AI 判断] 字段名以『数』结尾，业务语义为『積送側未指示数（在途/未指示数量）』，按词典规则本应匹配 LIPS.LFIMG / VBAP.KWMENG / EBAN.MENGE 等 SAP QUAN 字段。但类型为 C(7) 纯字符，无小数定义，与 SAP 标准 QUAN 字段（精度 13,3 的 P 型）严格不兼容——依本任务类型约束『短 C 字段表示的数多为 API 聚合的件数统计，应判 skip，不要强塞 LFIMG/KWMENG/MENGE』。本接口为 塗装包装中在庫連携 入向接口，且本字段未与 LIKP/LIPS/VBAK/VBAP 任何关键字段（伝票番号·明細番号·得意先·プラント等）一同出现，更像是来源系统在塗装包装工程内部聚合出的『未指示件数』辅助统计指标，SAP 标准表中无对应 QUAN 落点，建议作为接口内部字段不映射；如确需保存，应改为外部扩展字段（Z 表/Z 字段），不在标准字段范围内。</t>
        </is>
      </c>
    </row>
    <row r="30" ht="23.1" customHeight="1" s="76">
      <c r="A30" s="99" t="n">
        <v>28</v>
      </c>
      <c r="B30" s="100" t="inlineStr">
        <is>
          <t>03</t>
        </is>
      </c>
      <c r="C30" s="89" t="inlineStr">
        <is>
          <t>符号</t>
        </is>
      </c>
      <c r="D30" s="101" t="inlineStr">
        <is>
          <t>CFUGO12</t>
        </is>
      </c>
      <c r="E30" s="100" t="inlineStr">
        <is>
          <t>C</t>
        </is>
      </c>
      <c r="F30" s="102" t="n">
        <v>1</v>
      </c>
      <c r="G30" s="103" t="n"/>
      <c r="H30" s="104">
        <f>SUM(H29,I29)</f>
        <v/>
      </c>
      <c r="I30" s="102" t="n">
        <v>1</v>
      </c>
      <c r="J30" s="104" t="n"/>
      <c r="K30" s="105" t="n"/>
      <c r="L30" s="106" t="n"/>
      <c r="M30" s="114" t="inlineStr">
        <is>
          <t>[AI推测] MSEG.SHKZG（借方/貸方フラグ）</t>
        </is>
      </c>
      <c r="N30" s="115" t="inlineStr">
        <is>
          <t>★（AI推测）</t>
        </is>
      </c>
      <c r="O30" s="116" t="inlineStr">
        <is>
          <t>AI 推测（无历史直接命中，信心 0.55）：推荐「借方/貸方フラグ」（MSEG.SHKZG）——C(1) 与 SHKZG（CHAR 1，値 'S'/'H'）类型长度完全一致；在庫連携（塗装包装中在庫）入向场景中，'符号' 最常表达数量増減方向（+/-、入/出），SAP 在 MSEG 用 SHKZG 表示借/貸即数量符号方向，语义最贴合。。备选：MARA.LVORM（削除フラグ (品目マスタ)） / MSEG.KZBEW（移動タイプ区分）。AI 推断仅作参考，请务必人工复核。</t>
        </is>
      </c>
    </row>
    <row r="31" ht="23.1" customHeight="1" s="76">
      <c r="A31" s="99" t="n">
        <v>29</v>
      </c>
      <c r="B31" s="100" t="inlineStr">
        <is>
          <t>03</t>
        </is>
      </c>
      <c r="C31" s="110" t="inlineStr">
        <is>
          <t>積送側未出荷数</t>
        </is>
      </c>
      <c r="D31" s="113" t="inlineStr">
        <is>
          <t>SSSGMSK</t>
        </is>
      </c>
      <c r="E31" s="100" t="inlineStr">
        <is>
          <t>C</t>
        </is>
      </c>
      <c r="F31" s="102" t="n">
        <v>7</v>
      </c>
      <c r="G31" s="103" t="n"/>
      <c r="H31" s="104">
        <f>SUM(H30,I30)</f>
        <v/>
      </c>
      <c r="I31" s="102" t="n">
        <v>7</v>
      </c>
      <c r="J31" s="104" t="n"/>
      <c r="K31" s="105" t="n"/>
      <c r="L31" s="106" t="n"/>
      <c r="M31" s="98" t="inlineStr">
        <is>
          <t>（无历史映射 — 可能为接口内部字段）</t>
        </is>
      </c>
      <c r="N31" s="98" t="inlineStr">
        <is>
          <t>—</t>
        </is>
      </c>
      <c r="O31" s="98" t="inlineStr">
        <is>
          <t>业务词典判定：[AI 判断] 字段语义为『未出荷数』(数量类)，但接口侧类型为 C(7) 短字符。SAP 真正的数量字段如 LIPS.LFIMG / VBAP.KWMENG / VBAK.KWMENG 均为 QUAN(13,3) 精确数值，C(7) 不具备小数精度，类型/长度不兼容。按规则『短 C 字段表示的数多为 API 聚合的件数统计/计数』，且无任何候选 SAP 数量字段在类型上能与 C(7) 对齐，此处宁可判为接口内部聚合计数值不映射，也不强塞 LFIMG/KWMENG。</t>
        </is>
      </c>
    </row>
    <row r="32" ht="23.1" customHeight="1" s="76">
      <c r="A32" s="99" t="n"/>
      <c r="B32" s="100" t="n"/>
      <c r="C32" s="89" t="n"/>
      <c r="D32" s="117" t="n"/>
      <c r="E32" s="118" t="n"/>
      <c r="F32" s="119" t="n"/>
      <c r="G32" s="120" t="n"/>
      <c r="H32" s="121" t="n"/>
      <c r="I32" s="122" t="n"/>
      <c r="J32" s="123" t="n"/>
      <c r="K32" s="124" t="n"/>
      <c r="L32" s="125" t="n"/>
    </row>
    <row r="33" ht="23.1" customHeight="1" s="76">
      <c r="A33" s="126" t="n"/>
      <c r="B33" s="126" t="n"/>
      <c r="C33" s="126" t="n"/>
      <c r="D33" s="126" t="n"/>
      <c r="E33" s="127" t="n"/>
      <c r="F33" s="127" t="n"/>
      <c r="G33" s="128" t="n"/>
      <c r="H33" s="129" t="inlineStr">
        <is>
          <t>総Byte</t>
        </is>
      </c>
      <c r="I33" s="130">
        <f>SUM(I3:I32)</f>
        <v/>
      </c>
      <c r="J33" s="131" t="inlineStr">
        <is>
          <t>PAGE</t>
        </is>
      </c>
      <c r="K33" s="132" t="n">
        <v>1</v>
      </c>
      <c r="L33" s="133" t="inlineStr">
        <is>
          <t>/</t>
        </is>
      </c>
    </row>
    <row r="34" ht="21.95" customHeight="1" s="76">
      <c r="A34" s="134" t="inlineStr">
        <is>
          <t>FORM-ID</t>
        </is>
      </c>
      <c r="B34" s="135" t="n"/>
      <c r="C34" s="136" t="n"/>
      <c r="D34" s="137" t="n"/>
      <c r="E34" s="137" t="n"/>
      <c r="F34" s="137" t="n"/>
      <c r="G34" s="137" t="n"/>
      <c r="H34" s="137" t="n"/>
      <c r="I34" s="137" t="n"/>
      <c r="J34" s="137" t="n"/>
      <c r="K34" s="137" t="n"/>
      <c r="L34" s="138" t="n"/>
    </row>
    <row r="35" ht="21.95" customHeight="1" s="76">
      <c r="A35" s="139" t="inlineStr">
        <is>
          <t>レイアウトコ-ド</t>
        </is>
      </c>
      <c r="B35" s="140" t="n"/>
      <c r="C35" s="141" t="inlineStr">
        <is>
          <t>RZ019</t>
        </is>
      </c>
      <c r="D35" s="142" t="inlineStr">
        <is>
          <t>レイアウト名</t>
        </is>
      </c>
      <c r="E35" s="143" t="inlineStr">
        <is>
          <t>塗装包装中在庫連携ﾃﾞｰﾀ</t>
        </is>
      </c>
      <c r="F35" s="144" t="n"/>
      <c r="G35" s="140" t="n"/>
      <c r="H35" s="145" t="inlineStr">
        <is>
          <t>作成者</t>
        </is>
      </c>
      <c r="I35" s="146" t="inlineStr">
        <is>
          <t>安部</t>
        </is>
      </c>
      <c r="J35" s="140" t="n"/>
      <c r="K35" s="145" t="inlineStr">
        <is>
          <t>作成日</t>
        </is>
      </c>
      <c r="L35" s="147" t="inlineStr">
        <is>
          <t>2008/07/25</t>
        </is>
      </c>
    </row>
    <row r="36" ht="21.95" customHeight="1" s="76">
      <c r="A36" s="148" t="inlineStr">
        <is>
          <t>システムコ-ド</t>
        </is>
      </c>
      <c r="B36" s="149" t="n"/>
      <c r="C36" s="150" t="inlineStr">
        <is>
          <t>R20</t>
        </is>
      </c>
      <c r="D36" s="151" t="inlineStr">
        <is>
          <t>システム名</t>
        </is>
      </c>
      <c r="E36" s="152" t="inlineStr">
        <is>
          <t>KAPS2</t>
        </is>
      </c>
      <c r="F36" s="153" t="n"/>
      <c r="G36" s="149" t="n"/>
      <c r="H36" s="154" t="inlineStr">
        <is>
          <t>更新者</t>
        </is>
      </c>
      <c r="I36" s="155" t="n"/>
      <c r="J36" s="149" t="n"/>
      <c r="K36" s="154" t="inlineStr">
        <is>
          <t>更新日</t>
        </is>
      </c>
      <c r="L36" s="156" t="n"/>
    </row>
    <row r="37" ht="21.95" customHeight="1" s="76">
      <c r="A37" s="157" t="inlineStr">
        <is>
          <t>起案№</t>
        </is>
      </c>
      <c r="B37" s="158" t="n"/>
      <c r="C37" s="159" t="inlineStr">
        <is>
          <t>R200-001-1</t>
        </is>
      </c>
      <c r="D37" s="160" t="inlineStr">
        <is>
          <t>起案名</t>
        </is>
      </c>
      <c r="E37" s="161" t="inlineStr">
        <is>
          <t>部品業務ｼｽﾃﾑ再構築</t>
        </is>
      </c>
      <c r="F37" s="162" t="n"/>
      <c r="G37" s="158" t="n"/>
      <c r="H37" s="163" t="inlineStr">
        <is>
          <t>更新者</t>
        </is>
      </c>
      <c r="I37" s="164" t="n"/>
      <c r="J37" s="158" t="n"/>
      <c r="K37" s="163" t="inlineStr">
        <is>
          <t>更新日</t>
        </is>
      </c>
      <c r="L37" s="165" t="n"/>
    </row>
    <row r="38" ht="39.95" customHeight="1" s="76">
      <c r="A38" s="77" t="inlineStr">
        <is>
          <t>レコード仕様書</t>
        </is>
      </c>
    </row>
    <row r="39" ht="23.25" customHeight="1" s="76">
      <c r="A39" s="78" t="inlineStr">
        <is>
          <t>№</t>
        </is>
      </c>
      <c r="B39" s="79" t="inlineStr">
        <is>
          <t>LVL</t>
        </is>
      </c>
      <c r="C39" s="79" t="inlineStr">
        <is>
          <t>項目名</t>
        </is>
      </c>
      <c r="D39" s="80" t="inlineStr">
        <is>
          <t>項目コード</t>
        </is>
      </c>
      <c r="E39" s="79" t="inlineStr">
        <is>
          <t>Type</t>
        </is>
      </c>
      <c r="F39" s="81" t="inlineStr">
        <is>
          <t>Leng　　(整数)</t>
        </is>
      </c>
      <c r="G39" s="82" t="inlineStr">
        <is>
          <t>Leng　　(小数)</t>
        </is>
      </c>
      <c r="H39" s="79" t="inlineStr">
        <is>
          <t>上限</t>
        </is>
      </c>
      <c r="I39" s="83" t="inlineStr">
        <is>
          <t>Byte</t>
        </is>
      </c>
      <c r="J39" s="79" t="inlineStr">
        <is>
          <t>ｱﾚ-</t>
        </is>
      </c>
      <c r="K39" s="84" t="inlineStr">
        <is>
          <t>備考</t>
        </is>
      </c>
      <c r="L39" s="85" t="n"/>
    </row>
    <row r="40" ht="23.25" customHeight="1" s="76">
      <c r="A40" s="87" t="n">
        <v>30</v>
      </c>
      <c r="B40" s="88" t="inlineStr">
        <is>
          <t>03</t>
        </is>
      </c>
      <c r="C40" s="89" t="inlineStr">
        <is>
          <t>シグナル回数</t>
        </is>
      </c>
      <c r="D40" s="90" t="inlineStr">
        <is>
          <t>SSGCTR</t>
        </is>
      </c>
      <c r="E40" s="91" t="inlineStr">
        <is>
          <t>C</t>
        </is>
      </c>
      <c r="F40" s="92" t="n">
        <v>7</v>
      </c>
      <c r="G40" s="93" t="n"/>
      <c r="H40" s="94" t="n">
        <v>124</v>
      </c>
      <c r="I40" s="92" t="n">
        <v>7</v>
      </c>
      <c r="J40" s="95" t="n"/>
      <c r="K40" s="96" t="n"/>
      <c r="L40" s="97" t="n"/>
    </row>
    <row r="41" ht="23.25" customHeight="1" s="76">
      <c r="A41" s="99" t="n">
        <v>31</v>
      </c>
      <c r="B41" s="100" t="inlineStr">
        <is>
          <t>03</t>
        </is>
      </c>
      <c r="C41" s="89" t="inlineStr">
        <is>
          <t>余白</t>
        </is>
      </c>
      <c r="D41" s="101" t="inlineStr">
        <is>
          <t>FILLER</t>
        </is>
      </c>
      <c r="E41" s="91" t="inlineStr">
        <is>
          <t>C</t>
        </is>
      </c>
      <c r="F41" s="102" t="n">
        <v>20</v>
      </c>
      <c r="G41" s="103" t="n"/>
      <c r="H41" s="104">
        <f>SUM(H40,I40)</f>
        <v/>
      </c>
      <c r="I41" s="102" t="n">
        <v>20</v>
      </c>
      <c r="J41" s="104" t="n"/>
      <c r="K41" s="105" t="n"/>
      <c r="L41" s="106" t="n"/>
    </row>
    <row r="42" ht="23.25" customHeight="1" s="76">
      <c r="A42" s="87" t="n"/>
      <c r="B42" s="100" t="n"/>
      <c r="C42" s="89" t="n"/>
      <c r="D42" s="101" t="n"/>
      <c r="E42" s="100" t="n"/>
      <c r="F42" s="102" t="n"/>
      <c r="G42" s="103" t="n"/>
      <c r="H42" s="104" t="n"/>
      <c r="I42" s="102" t="n"/>
      <c r="J42" s="104" t="n"/>
      <c r="K42" s="105" t="n"/>
      <c r="L42" s="106" t="n"/>
    </row>
    <row r="43" ht="23.25" customHeight="1" s="76">
      <c r="A43" s="99" t="n"/>
      <c r="B43" s="100" t="n"/>
      <c r="C43" s="89" t="n"/>
      <c r="D43" s="101" t="n"/>
      <c r="E43" s="100" t="n"/>
      <c r="F43" s="102" t="n"/>
      <c r="G43" s="103" t="n"/>
      <c r="H43" s="104" t="n"/>
      <c r="I43" s="102" t="n"/>
      <c r="J43" s="104" t="n"/>
      <c r="K43" s="105" t="n"/>
      <c r="L43" s="106" t="n"/>
    </row>
    <row r="44" ht="23.25" customHeight="1" s="76">
      <c r="A44" s="87" t="n"/>
      <c r="B44" s="100" t="n"/>
      <c r="C44" s="89" t="n"/>
      <c r="D44" s="101" t="n"/>
      <c r="E44" s="100" t="n"/>
      <c r="F44" s="102" t="n"/>
      <c r="G44" s="103" t="n"/>
      <c r="H44" s="104" t="n"/>
      <c r="I44" s="102" t="n"/>
      <c r="J44" s="104" t="n"/>
      <c r="K44" s="105" t="n"/>
      <c r="L44" s="106" t="n"/>
    </row>
    <row r="45" ht="23.25" customHeight="1" s="76">
      <c r="A45" s="99" t="n"/>
      <c r="B45" s="100" t="n"/>
      <c r="C45" s="89" t="n"/>
      <c r="D45" s="101" t="n"/>
      <c r="E45" s="100" t="n"/>
      <c r="F45" s="102" t="n"/>
      <c r="G45" s="103" t="n"/>
      <c r="H45" s="104" t="n"/>
      <c r="I45" s="102" t="n"/>
      <c r="J45" s="104" t="n"/>
      <c r="K45" s="105" t="n"/>
      <c r="L45" s="106" t="n"/>
    </row>
    <row r="46" ht="23.25" customHeight="1" s="76">
      <c r="A46" s="87" t="n"/>
      <c r="B46" s="100" t="n"/>
      <c r="C46" s="89" t="n"/>
      <c r="D46" s="101" t="n"/>
      <c r="E46" s="100" t="n"/>
      <c r="F46" s="102" t="n"/>
      <c r="G46" s="103" t="n"/>
      <c r="H46" s="104" t="n"/>
      <c r="I46" s="102" t="n"/>
      <c r="J46" s="104" t="n"/>
      <c r="K46" s="105" t="n"/>
      <c r="L46" s="106" t="n"/>
    </row>
    <row r="47" ht="23.25" customHeight="1" s="76">
      <c r="A47" s="99" t="n"/>
      <c r="B47" s="100" t="n"/>
      <c r="C47" s="89" t="n"/>
      <c r="D47" s="101" t="n"/>
      <c r="E47" s="100" t="n"/>
      <c r="F47" s="102" t="n"/>
      <c r="G47" s="103" t="n"/>
      <c r="H47" s="104" t="n"/>
      <c r="I47" s="102" t="n"/>
      <c r="J47" s="104" t="n"/>
      <c r="K47" s="105" t="n"/>
      <c r="L47" s="106" t="n"/>
    </row>
    <row r="48" ht="23.25" customHeight="1" s="76">
      <c r="A48" s="87" t="n"/>
      <c r="B48" s="100" t="n"/>
      <c r="C48" s="89" t="n"/>
      <c r="D48" s="101" t="n"/>
      <c r="E48" s="100" t="n"/>
      <c r="F48" s="102" t="n"/>
      <c r="G48" s="103" t="n"/>
      <c r="H48" s="104" t="n"/>
      <c r="I48" s="102" t="n"/>
      <c r="J48" s="104" t="n"/>
      <c r="K48" s="111" t="n"/>
      <c r="L48" s="106" t="n"/>
    </row>
    <row r="49" ht="23.25" customHeight="1" s="76">
      <c r="A49" s="99" t="n"/>
      <c r="B49" s="100" t="n"/>
      <c r="C49" s="89" t="n"/>
      <c r="D49" s="101" t="n"/>
      <c r="E49" s="100" t="n"/>
      <c r="F49" s="102" t="n"/>
      <c r="G49" s="103" t="n"/>
      <c r="H49" s="104" t="n"/>
      <c r="I49" s="102" t="n"/>
      <c r="J49" s="104" t="n"/>
      <c r="K49" s="111" t="n"/>
      <c r="L49" s="106" t="n"/>
    </row>
    <row r="50" ht="23.25" customHeight="1" s="76">
      <c r="A50" s="87" t="n"/>
      <c r="B50" s="100" t="n"/>
      <c r="C50" s="89" t="n"/>
      <c r="D50" s="101" t="n"/>
      <c r="E50" s="100" t="n"/>
      <c r="F50" s="102" t="n"/>
      <c r="G50" s="103" t="n"/>
      <c r="H50" s="104" t="n"/>
      <c r="I50" s="102" t="n"/>
      <c r="J50" s="104" t="n"/>
      <c r="K50" s="105" t="n"/>
      <c r="L50" s="106" t="n"/>
    </row>
    <row r="51" ht="23.25" customHeight="1" s="76">
      <c r="A51" s="99" t="n"/>
      <c r="B51" s="100" t="n"/>
      <c r="C51" s="89" t="n"/>
      <c r="D51" s="101" t="n"/>
      <c r="E51" s="100" t="n"/>
      <c r="F51" s="102" t="n"/>
      <c r="G51" s="103" t="n"/>
      <c r="H51" s="104" t="n"/>
      <c r="I51" s="102" t="n"/>
      <c r="J51" s="104" t="n"/>
      <c r="K51" s="111" t="n"/>
      <c r="L51" s="106" t="n"/>
    </row>
    <row r="52" ht="23.25" customHeight="1" s="76">
      <c r="A52" s="87" t="n"/>
      <c r="B52" s="100" t="n"/>
      <c r="C52" s="89" t="n"/>
      <c r="D52" s="101" t="n"/>
      <c r="E52" s="100" t="n"/>
      <c r="F52" s="102" t="n"/>
      <c r="G52" s="103" t="n"/>
      <c r="H52" s="104" t="n"/>
      <c r="I52" s="102" t="n"/>
      <c r="J52" s="104" t="n"/>
      <c r="K52" s="111" t="n"/>
      <c r="L52" s="106" t="n"/>
    </row>
    <row r="53" ht="23.25" customHeight="1" s="76">
      <c r="A53" s="99" t="n"/>
      <c r="B53" s="100" t="n"/>
      <c r="C53" s="89" t="n"/>
      <c r="D53" s="101" t="n"/>
      <c r="E53" s="100" t="n"/>
      <c r="F53" s="102" t="n"/>
      <c r="G53" s="103" t="n"/>
      <c r="H53" s="104" t="n"/>
      <c r="I53" s="102" t="n"/>
      <c r="J53" s="104" t="n"/>
      <c r="K53" s="111" t="n"/>
      <c r="L53" s="106" t="n"/>
    </row>
    <row r="54" ht="23.25" customHeight="1" s="76">
      <c r="A54" s="87" t="n"/>
      <c r="B54" s="100" t="n"/>
      <c r="C54" s="89" t="n"/>
      <c r="D54" s="101" t="n"/>
      <c r="E54" s="100" t="n"/>
      <c r="F54" s="102" t="n"/>
      <c r="G54" s="103" t="n"/>
      <c r="H54" s="104" t="n"/>
      <c r="I54" s="102" t="n"/>
      <c r="J54" s="104" t="n"/>
      <c r="K54" s="111" t="n"/>
      <c r="L54" s="106" t="n"/>
    </row>
    <row r="55" ht="23.25" customHeight="1" s="76">
      <c r="A55" s="99" t="n"/>
      <c r="B55" s="100" t="n"/>
      <c r="C55" s="89" t="n"/>
      <c r="D55" s="101" t="n"/>
      <c r="E55" s="100" t="n"/>
      <c r="F55" s="102" t="n"/>
      <c r="G55" s="103" t="n"/>
      <c r="H55" s="104" t="n"/>
      <c r="I55" s="102" t="n"/>
      <c r="J55" s="104" t="n"/>
      <c r="K55" s="111" t="n"/>
      <c r="L55" s="106" t="n"/>
    </row>
    <row r="56" ht="23.25" customHeight="1" s="76">
      <c r="A56" s="87" t="n"/>
      <c r="B56" s="100" t="n"/>
      <c r="C56" s="89" t="n"/>
      <c r="D56" s="101" t="n"/>
      <c r="E56" s="100" t="n"/>
      <c r="F56" s="102" t="n"/>
      <c r="G56" s="103" t="n"/>
      <c r="H56" s="104" t="n"/>
      <c r="I56" s="102" t="n"/>
      <c r="J56" s="104" t="n"/>
      <c r="K56" s="111" t="n"/>
      <c r="L56" s="106" t="n"/>
    </row>
    <row r="57" ht="23.25" customHeight="1" s="76">
      <c r="A57" s="99" t="n"/>
      <c r="B57" s="100" t="n"/>
      <c r="C57" s="89" t="n"/>
      <c r="D57" s="101" t="n"/>
      <c r="E57" s="100" t="n"/>
      <c r="F57" s="102" t="n"/>
      <c r="G57" s="103" t="n"/>
      <c r="H57" s="104" t="n"/>
      <c r="I57" s="102" t="n"/>
      <c r="J57" s="104" t="n"/>
      <c r="K57" s="111" t="n"/>
      <c r="L57" s="106" t="n"/>
    </row>
    <row r="58" ht="23.25" customHeight="1" s="76">
      <c r="A58" s="87" t="n"/>
      <c r="B58" s="100" t="n"/>
      <c r="C58" s="89" t="n"/>
      <c r="D58" s="101" t="n"/>
      <c r="E58" s="100" t="n"/>
      <c r="F58" s="102" t="n"/>
      <c r="G58" s="103" t="n"/>
      <c r="H58" s="104" t="n"/>
      <c r="I58" s="102" t="n"/>
      <c r="J58" s="104" t="n"/>
      <c r="K58" s="111" t="n"/>
      <c r="L58" s="106" t="n"/>
    </row>
    <row r="59" ht="23.25" customHeight="1" s="76">
      <c r="A59" s="99" t="n"/>
      <c r="B59" s="100" t="n"/>
      <c r="C59" s="89" t="n"/>
      <c r="D59" s="101" t="n"/>
      <c r="E59" s="100" t="n"/>
      <c r="F59" s="102" t="n"/>
      <c r="G59" s="103" t="n"/>
      <c r="H59" s="104" t="n"/>
      <c r="I59" s="102" t="n"/>
      <c r="J59" s="104" t="n"/>
      <c r="K59" s="111" t="n"/>
      <c r="L59" s="106" t="n"/>
    </row>
    <row r="60" ht="23.25" customHeight="1" s="76">
      <c r="A60" s="87" t="n"/>
      <c r="B60" s="100" t="n"/>
      <c r="C60" s="89" t="n"/>
      <c r="D60" s="101" t="n"/>
      <c r="E60" s="100" t="n"/>
      <c r="F60" s="102" t="n"/>
      <c r="G60" s="103" t="n"/>
      <c r="H60" s="104" t="n"/>
      <c r="I60" s="102" t="n"/>
      <c r="J60" s="104" t="n"/>
      <c r="K60" s="111" t="n"/>
      <c r="L60" s="106" t="n"/>
    </row>
    <row r="61" ht="23.25" customHeight="1" s="76">
      <c r="A61" s="99" t="n"/>
      <c r="B61" s="100" t="n"/>
      <c r="C61" s="89" t="n"/>
      <c r="D61" s="101" t="n"/>
      <c r="E61" s="100" t="n"/>
      <c r="F61" s="102" t="n"/>
      <c r="G61" s="103" t="n"/>
      <c r="H61" s="104" t="n"/>
      <c r="I61" s="102" t="n"/>
      <c r="J61" s="104" t="n"/>
      <c r="K61" s="105" t="n"/>
      <c r="L61" s="106" t="n"/>
    </row>
    <row r="62" ht="23.25" customHeight="1" s="76">
      <c r="A62" s="99" t="n"/>
      <c r="B62" s="100" t="n"/>
      <c r="C62" s="89" t="n"/>
      <c r="D62" s="101" t="n"/>
      <c r="E62" s="100" t="n"/>
      <c r="F62" s="102" t="n"/>
      <c r="G62" s="103" t="n"/>
      <c r="H62" s="104" t="n"/>
      <c r="I62" s="102" t="n"/>
      <c r="J62" s="104" t="n"/>
      <c r="K62" s="105" t="n"/>
      <c r="L62" s="106" t="n"/>
    </row>
    <row r="63" ht="23.25" customHeight="1" s="76">
      <c r="A63" s="99" t="n"/>
      <c r="B63" s="100" t="n"/>
      <c r="C63" s="89" t="n"/>
      <c r="D63" s="101" t="n"/>
      <c r="E63" s="100" t="n"/>
      <c r="F63" s="102" t="n"/>
      <c r="G63" s="103" t="n"/>
      <c r="H63" s="121" t="n"/>
      <c r="I63" s="102" t="n"/>
      <c r="J63" s="104" t="n"/>
      <c r="K63" s="105" t="n"/>
      <c r="L63" s="106" t="n"/>
    </row>
    <row r="64" ht="23.25" customHeight="1" s="76">
      <c r="A64" s="99" t="n"/>
      <c r="B64" s="100" t="n"/>
      <c r="C64" s="89" t="n"/>
      <c r="D64" s="101" t="n"/>
      <c r="E64" s="100" t="n"/>
      <c r="F64" s="102" t="n"/>
      <c r="G64" s="103" t="n"/>
      <c r="H64" s="121" t="n"/>
      <c r="I64" s="102" t="n"/>
      <c r="J64" s="104" t="n"/>
      <c r="K64" s="105" t="n"/>
      <c r="L64" s="106" t="n"/>
    </row>
    <row r="65" ht="23.25" customHeight="1" s="76">
      <c r="A65" s="99" t="n"/>
      <c r="B65" s="100" t="n"/>
      <c r="C65" s="89" t="n"/>
      <c r="D65" s="101" t="n"/>
      <c r="E65" s="100" t="n"/>
      <c r="F65" s="102" t="n"/>
      <c r="G65" s="103" t="n"/>
      <c r="H65" s="121" t="n"/>
      <c r="I65" s="102" t="n"/>
      <c r="J65" s="104" t="n"/>
      <c r="K65" s="105" t="n"/>
      <c r="L65" s="106" t="n"/>
    </row>
    <row r="66" ht="23.25" customHeight="1" s="76">
      <c r="A66" s="99" t="n"/>
      <c r="B66" s="100" t="n"/>
      <c r="C66" s="89" t="n"/>
      <c r="D66" s="101" t="n"/>
      <c r="E66" s="100" t="n"/>
      <c r="F66" s="102" t="n"/>
      <c r="G66" s="103" t="n"/>
      <c r="H66" s="121" t="n"/>
      <c r="I66" s="102" t="n"/>
      <c r="J66" s="104" t="n"/>
      <c r="K66" s="101" t="n"/>
      <c r="L66" s="105" t="n"/>
    </row>
    <row r="67" ht="23.25" customHeight="1" s="76">
      <c r="A67" s="99" t="n"/>
      <c r="B67" s="100" t="n"/>
      <c r="C67" s="89" t="n"/>
      <c r="D67" s="101" t="n"/>
      <c r="E67" s="100" t="n"/>
      <c r="F67" s="102" t="n"/>
      <c r="G67" s="103" t="n"/>
      <c r="H67" s="121" t="n"/>
      <c r="I67" s="122" t="n"/>
      <c r="J67" s="104" t="n"/>
      <c r="K67" s="105" t="n"/>
      <c r="L67" s="106" t="n"/>
    </row>
    <row r="68" ht="23.25" customHeight="1" s="76">
      <c r="A68" s="166" t="n"/>
      <c r="B68" s="118" t="n"/>
      <c r="C68" s="167" t="n"/>
      <c r="D68" s="117" t="n"/>
      <c r="E68" s="118" t="n"/>
      <c r="F68" s="119" t="n"/>
      <c r="G68" s="120" t="n"/>
      <c r="H68" s="121" t="n"/>
      <c r="I68" s="122" t="n"/>
      <c r="J68" s="123" t="n"/>
      <c r="K68" s="124" t="n"/>
      <c r="L68" s="125" t="n"/>
    </row>
    <row r="69" ht="23.25" customHeight="1" s="76">
      <c r="A69" s="126" t="n"/>
      <c r="B69" s="126" t="n"/>
      <c r="C69" s="126" t="n"/>
      <c r="D69" s="126" t="n"/>
      <c r="E69" s="127" t="n"/>
      <c r="F69" s="127" t="n"/>
      <c r="G69" s="128" t="n"/>
      <c r="H69" s="129" t="inlineStr">
        <is>
          <t>総Byte</t>
        </is>
      </c>
      <c r="I69" s="130">
        <f>SUM(I40:I68)+I33</f>
        <v/>
      </c>
      <c r="J69" s="131" t="inlineStr">
        <is>
          <t>PAGE</t>
        </is>
      </c>
      <c r="K69" s="132" t="n">
        <v>2</v>
      </c>
      <c r="L69" s="133" t="inlineStr">
        <is>
          <t>/E</t>
        </is>
      </c>
    </row>
    <row r="70" ht="23.25" customHeight="1" s="76">
      <c r="A70" s="134" t="inlineStr">
        <is>
          <t>FORM-ID</t>
        </is>
      </c>
      <c r="B70" s="135" t="n"/>
      <c r="C70" s="136" t="n"/>
      <c r="D70" s="137" t="n"/>
      <c r="E70" s="137" t="n"/>
      <c r="F70" s="137" t="n"/>
      <c r="G70" s="137" t="n"/>
      <c r="H70" s="137" t="n"/>
      <c r="I70" s="137" t="n"/>
      <c r="J70" s="137" t="n"/>
      <c r="K70" s="137" t="n"/>
      <c r="L70" s="138" t="n"/>
    </row>
    <row r="71" ht="23.25" customHeight="1" s="76">
      <c r="A71" s="139" t="inlineStr">
        <is>
          <t>レイアウトコ-ド</t>
        </is>
      </c>
      <c r="B71" s="140" t="n"/>
      <c r="C71" s="141" t="inlineStr">
        <is>
          <t>RZ019</t>
        </is>
      </c>
      <c r="D71" s="142" t="inlineStr">
        <is>
          <t>レイアウト名</t>
        </is>
      </c>
      <c r="E71" s="143" t="inlineStr">
        <is>
          <t>塗装包装中在庫データ</t>
        </is>
      </c>
      <c r="F71" s="144" t="n"/>
      <c r="G71" s="140" t="n"/>
      <c r="H71" s="145" t="inlineStr">
        <is>
          <t>作成者</t>
        </is>
      </c>
      <c r="I71" s="146" t="inlineStr">
        <is>
          <t>安部</t>
        </is>
      </c>
      <c r="J71" s="140" t="n"/>
      <c r="K71" s="145" t="inlineStr">
        <is>
          <t>作成日</t>
        </is>
      </c>
      <c r="L71" s="147" t="inlineStr">
        <is>
          <t>2008/07/25</t>
        </is>
      </c>
    </row>
    <row r="72" ht="23.25" customHeight="1" s="76">
      <c r="A72" s="148" t="inlineStr">
        <is>
          <t>システムコ-ド</t>
        </is>
      </c>
      <c r="B72" s="149" t="n"/>
      <c r="C72" s="150" t="inlineStr">
        <is>
          <t>R20</t>
        </is>
      </c>
      <c r="D72" s="151" t="inlineStr">
        <is>
          <t>システム名</t>
        </is>
      </c>
      <c r="E72" s="152" t="inlineStr">
        <is>
          <t>KAPS2</t>
        </is>
      </c>
      <c r="F72" s="153" t="n"/>
      <c r="G72" s="149" t="n"/>
      <c r="H72" s="154" t="inlineStr">
        <is>
          <t>更新者</t>
        </is>
      </c>
      <c r="I72" s="155" t="n"/>
      <c r="J72" s="149" t="n"/>
      <c r="K72" s="154" t="inlineStr">
        <is>
          <t>更新日</t>
        </is>
      </c>
      <c r="L72" s="156" t="n"/>
    </row>
    <row r="73" ht="23.25" customHeight="1" s="76">
      <c r="A73" s="157" t="inlineStr">
        <is>
          <t>起案№</t>
        </is>
      </c>
      <c r="B73" s="158" t="n"/>
      <c r="C73" s="159" t="inlineStr">
        <is>
          <t>R200-001-1</t>
        </is>
      </c>
      <c r="D73" s="160" t="inlineStr">
        <is>
          <t>起案名</t>
        </is>
      </c>
      <c r="E73" s="161" t="inlineStr">
        <is>
          <t>部品業務ｼｽﾃﾑ再構築</t>
        </is>
      </c>
      <c r="F73" s="162" t="n"/>
      <c r="G73" s="158" t="n"/>
      <c r="H73" s="163" t="inlineStr">
        <is>
          <t>更新者</t>
        </is>
      </c>
      <c r="I73" s="164" t="n"/>
      <c r="J73" s="158" t="n"/>
      <c r="K73" s="163" t="inlineStr">
        <is>
          <t>更新日</t>
        </is>
      </c>
      <c r="L73" s="165" t="n"/>
    </row>
  </sheetData>
  <mergeCells count="84">
    <mergeCell ref="K49:L49"/>
    <mergeCell ref="A73:B73"/>
    <mergeCell ref="K24:L24"/>
    <mergeCell ref="A70:B70"/>
    <mergeCell ref="K4:L4"/>
    <mergeCell ref="K26:L26"/>
    <mergeCell ref="K50:L50"/>
    <mergeCell ref="C34:L34"/>
    <mergeCell ref="I71:J71"/>
    <mergeCell ref="K58:L58"/>
    <mergeCell ref="K52:L52"/>
    <mergeCell ref="K67:L67"/>
    <mergeCell ref="K2:L2"/>
    <mergeCell ref="K42:L42"/>
    <mergeCell ref="A35:B35"/>
    <mergeCell ref="K53:L53"/>
    <mergeCell ref="K28:L28"/>
    <mergeCell ref="E35:G35"/>
    <mergeCell ref="K13:L13"/>
    <mergeCell ref="K30:L30"/>
    <mergeCell ref="C70:L70"/>
    <mergeCell ref="K15:L15"/>
    <mergeCell ref="K55:L55"/>
    <mergeCell ref="K64:L64"/>
    <mergeCell ref="K21:L21"/>
    <mergeCell ref="K51:L51"/>
    <mergeCell ref="I72:J72"/>
    <mergeCell ref="K32:L32"/>
    <mergeCell ref="K63:L63"/>
    <mergeCell ref="A37:B37"/>
    <mergeCell ref="K41:L41"/>
    <mergeCell ref="K56:L56"/>
    <mergeCell ref="A38:L38"/>
    <mergeCell ref="E72:G72"/>
    <mergeCell ref="K43:L43"/>
    <mergeCell ref="A71:B71"/>
    <mergeCell ref="K27:L27"/>
    <mergeCell ref="K17:L17"/>
    <mergeCell ref="E71:G71"/>
    <mergeCell ref="I35:J35"/>
    <mergeCell ref="K10:L10"/>
    <mergeCell ref="K19:L19"/>
    <mergeCell ref="E73:G73"/>
    <mergeCell ref="K6:L6"/>
    <mergeCell ref="K3:L3"/>
    <mergeCell ref="A34:B34"/>
    <mergeCell ref="K16:L16"/>
    <mergeCell ref="K68:L68"/>
    <mergeCell ref="K25:L25"/>
    <mergeCell ref="K9:L9"/>
    <mergeCell ref="K5:L5"/>
    <mergeCell ref="A36:B36"/>
    <mergeCell ref="K45:L45"/>
    <mergeCell ref="K54:L54"/>
    <mergeCell ref="K60:L60"/>
    <mergeCell ref="K29:L29"/>
    <mergeCell ref="K11:L11"/>
    <mergeCell ref="E36:G36"/>
    <mergeCell ref="K47:L47"/>
    <mergeCell ref="K44:L44"/>
    <mergeCell ref="I37:J37"/>
    <mergeCell ref="K31:L31"/>
    <mergeCell ref="K46:L46"/>
    <mergeCell ref="K40:L40"/>
    <mergeCell ref="K8:L8"/>
    <mergeCell ref="E37:G37"/>
    <mergeCell ref="K23:L23"/>
    <mergeCell ref="K7:L7"/>
    <mergeCell ref="I73:J73"/>
    <mergeCell ref="K65:L65"/>
    <mergeCell ref="K57:L57"/>
    <mergeCell ref="K18:L18"/>
    <mergeCell ref="I36:J36"/>
    <mergeCell ref="K20:L20"/>
    <mergeCell ref="K22:L22"/>
    <mergeCell ref="K59:L59"/>
    <mergeCell ref="K12:L12"/>
    <mergeCell ref="K61:L61"/>
    <mergeCell ref="K39:L39"/>
    <mergeCell ref="K14:L14"/>
    <mergeCell ref="K48:L48"/>
    <mergeCell ref="A72:B72"/>
    <mergeCell ref="A1:L1"/>
    <mergeCell ref="K62:L62"/>
  </mergeCells>
  <dataValidations count="29">
    <dataValidation sqref="M3" showDropDown="0" showInputMessage="0" showErrorMessage="0" allowBlank="1" type="list">
      <formula1>"（无历史映射 — 可能为接口内部字段）,（手动指定）"</formula1>
    </dataValidation>
    <dataValidation sqref="M4" showDropDown="0" showInputMessage="0" showErrorMessage="0" allowBlank="1" type="list">
      <formula1>"VBAP.MATNR（品目コード）,VBRP.MATNR（品目コード）,EBAN.MATNR（品目コード）,（手动指定）"</formula1>
    </dataValidation>
    <dataValidation sqref="M5" showDropDown="0" showInputMessage="0" showErrorMessage="0" allowBlank="1" type="list">
      <formula1>"[AI推测] VBAP.WERKS（プラント）,[AI推测] MARD.LGORT（保管場所）,[AI推测] VBAP.LGORT（保管場所）,（手动指定）"</formula1>
    </dataValidation>
    <dataValidation sqref="M6" showDropDown="0" showInputMessage="0" showErrorMessage="0" allowBlank="1" type="list">
      <formula1>"[AI推测] VBAP.WERKS（プラント）,[AI推测] VBAP.LGORT（保管場所）,[AI推测] LIPS.LGORT（保管場所）,（手动指定）"</formula1>
    </dataValidation>
    <dataValidation sqref="M7" showDropDown="0" showInputMessage="0" showErrorMessage="0" allowBlank="1" type="list">
      <formula1>"[AI推测] MARD.LGPBE（保管場所棚番）,[AI推测] MCHB.LGPBE（バッチ在庫の保管棚番）,[AI推测] LAGP.LGPLA（倉庫管理(WM)保管棚）,（手动指定）"</formula1>
    </dataValidation>
    <dataValidation sqref="M8" showDropDown="0" showInputMessage="0" showErrorMessage="0" allowBlank="1" type="list">
      <formula1>"[AI推测] VBRK.FKART（請求タイプ）,[AI推测] VBAK.AUART（販売伝票タイプ）,[AI推测] RBKP.VGART（取引タイプ）,（手动指定）"</formula1>
    </dataValidation>
    <dataValidation sqref="M9" showDropDown="0" showInputMessage="0" showErrorMessage="0" allowBlank="1" type="list">
      <formula1>"[AI推测] MARD.LABST（利用可能評価在庫）,[AI推测] MCHB.CLABS（バッチ利用可能評価在庫）,[AI推测] MSEG.ERFMG（入力単位での数量）,（手动指定）"</formula1>
    </dataValidation>
    <dataValidation sqref="M10" showDropDown="0" showInputMessage="0" showErrorMessage="0" allowBlank="1" type="list">
      <formula1>"[AI推测] VBRK.FKART（請求タイプ）,[AI推测] RBKP.VGART（取引タイプ）,[AI推测] VBAP.ABGRU（拒否理由）,（手动指定）"</formula1>
    </dataValidation>
    <dataValidation sqref="M11" showDropDown="0" showInputMessage="0" showErrorMessage="0" allowBlank="1" type="list">
      <formula1>"[AI推测] MARD.LABST（利用可能評価在庫）,[AI推测] MCHB.CLABS（自由利用可能評価在庫）,[AI推测] MARC.LABST（利用可能評価在庫(プラント)）,（手动指定）"</formula1>
    </dataValidation>
    <dataValidation sqref="M12" showDropDown="0" showInputMessage="0" showErrorMessage="0" allowBlank="1" type="list">
      <formula1>"[AI推测] VBRK.FKART（請求タイプ）,[AI推测] RBKP.VGART（取引タイプ）,[AI推测] VBAK.AUART（販売伝票タイプ）,（手动指定）"</formula1>
    </dataValidation>
    <dataValidation sqref="M13" showDropDown="0" showInputMessage="0" showErrorMessage="0" allowBlank="1" type="list">
      <formula1>"[AI推测] MARC.EISBE（安全在庫）,[AI推测] MARD.LABST（利用可能評価在庫）,[AI推测] MARD.INSME（品質検査在庫）,（手动指定）"</formula1>
    </dataValidation>
    <dataValidation sqref="M14" showDropDown="0" showInputMessage="0" showErrorMessage="0" allowBlank="1" type="list">
      <formula1>"[AI推测] MSEG.SHKZG（借方/貸方記号）,[AI推测] MARA.XCHPF（ロット管理対象）,[AI推测] VBAP.PSTYV（販売伝票明細カテゴリ）,（手动指定）"</formula1>
    </dataValidation>
    <dataValidation sqref="M15" showDropDown="0" showInputMessage="0" showErrorMessage="0" allowBlank="1" type="list">
      <formula1>"（无历史映射 — 可能为接口内部字段）,（手动指定）"</formula1>
    </dataValidation>
    <dataValidation sqref="M16" showDropDown="0" showInputMessage="0" showErrorMessage="0" allowBlank="1" type="list">
      <formula1>"[AI推测] MSEG.SHKZG（借方/貸方インジケータ）,[AI推测] VBUP.LFGSA（全納入ステータス）,[AI推测] MARA.LVORM（全社レベルでの削除フラグ）,（手动指定）"</formula1>
    </dataValidation>
    <dataValidation sqref="M17" showDropDown="0" showInputMessage="0" showErrorMessage="0" allowBlank="1" type="list">
      <formula1>"（无历史映射 — 可能为接口内部字段）,（手动指定）"</formula1>
    </dataValidation>
    <dataValidation sqref="M18" showDropDown="0" showInputMessage="0" showErrorMessage="0" allowBlank="1" type="list">
      <formula1>"[AI推测] MSEG.SHKZG（借方/貸方インジケータ）,[AI推测] RBKP.VGART（取引タイプ）,[AI推测] VBUP.WBSTA（出庫ステータス）,（手动指定）"</formula1>
    </dataValidation>
    <dataValidation sqref="M19" showDropDown="0" showInputMessage="0" showErrorMessage="0" allowBlank="1" type="list">
      <formula1>"（无历史映射 — 可能为接口内部字段）,（手动指定）"</formula1>
    </dataValidation>
    <dataValidation sqref="M20" showDropDown="0" showInputMessage="0" showErrorMessage="0" allowBlank="1" type="list">
      <formula1>"[AI推测] MSEG.SHKZG（借方/貸方表示）,[AI推测] MSEG.KZBEW（移動表示）,[AI推测] MSEG.KZVBR（使用方法）,（手动指定）"</formula1>
    </dataValidation>
    <dataValidation sqref="M21" showDropDown="0" showInputMessage="0" showErrorMessage="0" allowBlank="1" type="list">
      <formula1>"[AI推测] MARD.LABST（利用可能在庫）,[AI推测] MARD.INSME（品質検査中数量）,[AI推测] MCHB.CLABS（バッチ別利用可能在庫）,（手动指定）"</formula1>
    </dataValidation>
    <dataValidation sqref="M22" showDropDown="0" showInputMessage="0" showErrorMessage="0" allowBlank="1" type="list">
      <formula1>"[AI推测] MSEG.SHKZG（借/貸方表示）,[AI推测] MSEG.KZBEW（移動表示）,[AI推测] MKPF.VGART（取引タイプ）,（手动指定）"</formula1>
    </dataValidation>
    <dataValidation sqref="M23" showDropDown="0" showInputMessage="0" showErrorMessage="0" allowBlank="1" type="list">
      <formula1>"（无历史映射 — 可能为接口内部字段）,（手动指定）"</formula1>
    </dataValidation>
    <dataValidation sqref="M24" showDropDown="0" showInputMessage="0" showErrorMessage="0" allowBlank="1" type="list">
      <formula1>"[AI推测] VBRK.FKART（請求タイプ）,[AI推测] RBKP.VGART（取引タイプ）,[AI推测] VBAP.ABGRU（販売伝票の理由）,（手动指定）"</formula1>
    </dataValidation>
    <dataValidation sqref="M25" showDropDown="0" showInputMessage="0" showErrorMessage="0" allowBlank="1" type="list">
      <formula1>"[AI推测] MARD.LABST（利用可能評価在庫）,[AI推测] MCHB.CLABS（バッチの利用可能評価在庫）,[AI推测] MSEG.MENGE（入出庫転記の数量）,（手动指定）"</formula1>
    </dataValidation>
    <dataValidation sqref="M26" showDropDown="0" showInputMessage="0" showErrorMessage="0" allowBlank="1" type="list">
      <formula1>"[AI推测] VBRK.FKART（請求タイプ）,[AI推测] VBAK.AUART（販売伝票タイプ）,[AI推测] LIKP.LFART（出荷タイプ）,（手动指定）"</formula1>
    </dataValidation>
    <dataValidation sqref="M27" showDropDown="0" showInputMessage="0" showErrorMessage="0" allowBlank="1" type="list">
      <formula1>"（无历史映射 — 可能为接口内部字段）,（手动指定）"</formula1>
    </dataValidation>
    <dataValidation sqref="M28" showDropDown="0" showInputMessage="0" showErrorMessage="0" allowBlank="1" type="list">
      <formula1>"[AI推测] MSEG.SHKZG（借方/貸方コード）,[AI推测] VBUP.WBSTA（総合出庫ステータス）,[AI推测] VBAK.VBTYP（販売伝票カテゴリ）,（手动指定）"</formula1>
    </dataValidation>
    <dataValidation sqref="M29" showDropDown="0" showInputMessage="0" showErrorMessage="0" allowBlank="1" type="list">
      <formula1>"（无历史映射 — 可能为接口内部字段）,（手动指定）"</formula1>
    </dataValidation>
    <dataValidation sqref="M30" showDropDown="0" showInputMessage="0" showErrorMessage="0" allowBlank="1" type="list">
      <formula1>"[AI推测] MSEG.SHKZG（借方/貸方フラグ）,[AI推测] MARA.LVORM（削除フラグ (品目マスタ)）,[AI推测] MSEG.KZBEW（移動タイプ区分）,（手动指定）"</formula1>
    </dataValidation>
    <dataValidation sqref="M31" showDropDown="0" showInputMessage="0" showErrorMessage="0" allowBlank="1" type="list">
      <formula1>"（无历史映射 — 可能为接口内部字段）,（手动指定）"</formula1>
    </dataValidation>
  </dataValidations>
  <printOptions horizontalCentered="0" verticalCentered="0" headings="0" gridLines="0" gridLinesSet="1"/>
  <pageMargins left="0.590277777777778" right="0.196527777777778" top="0.39375" bottom="0.39375" header="0.39375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&amp;RCBL-040-510/002/200505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F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K7" activeCellId="0" sqref="K7"/>
    </sheetView>
  </sheetViews>
  <sheetFormatPr baseColWidth="8" defaultColWidth="8.9921875" defaultRowHeight="13.5" zeroHeight="0" outlineLevelRow="0"/>
  <cols>
    <col width="10.61" customWidth="1" style="168" min="1" max="1"/>
    <col width="9.369999999999999" customWidth="1" style="168" min="2" max="2"/>
    <col width="15.25" customWidth="1" style="168" min="3" max="3"/>
    <col width="8.869999999999999" customWidth="1" style="168" min="4" max="4"/>
    <col width="9.869999999999999" customWidth="1" style="168" min="5" max="5"/>
    <col width="9.49" customWidth="1" style="168" min="6" max="6"/>
    <col width="8.619999999999999" customWidth="1" style="168" min="7" max="7"/>
    <col width="8.99" customWidth="1" style="168" min="8" max="8"/>
    <col width="8.619999999999999" customWidth="1" style="168" min="9" max="9"/>
    <col width="10.99" customWidth="1" style="168" min="10" max="10"/>
    <col width="8.619999999999999" customWidth="1" style="168" min="11" max="11"/>
    <col width="10.99" customWidth="1" style="168" min="12" max="12"/>
    <col width="8.619999999999999" customWidth="1" style="168" min="13" max="13"/>
    <col width="13.62" customWidth="1" style="168" min="14" max="14"/>
    <col width="8.619999999999999" customWidth="1" style="168" min="15" max="15"/>
    <col width="12.99" customWidth="1" style="168" min="16" max="16"/>
    <col width="8.619999999999999" customWidth="1" style="168" min="17" max="17"/>
    <col width="15.12" customWidth="1" style="168" min="18" max="18"/>
    <col width="8.619999999999999" customWidth="1" style="168" min="19" max="19"/>
    <col width="18.11" customWidth="1" style="168" min="20" max="20"/>
    <col width="8.619999999999999" customWidth="1" style="168" min="21" max="21"/>
    <col width="12.99" customWidth="1" style="168" min="22" max="22"/>
    <col width="8.619999999999999" customWidth="1" style="168" min="23" max="23"/>
    <col width="12.99" customWidth="1" style="168" min="24" max="24"/>
    <col width="9.609999999999999" customWidth="1" style="168" min="25" max="25"/>
    <col width="12.99" customWidth="1" style="168" min="26" max="26"/>
    <col width="9.609999999999999" customWidth="1" style="168" min="27" max="27"/>
    <col width="15.12" customWidth="1" style="168" min="28" max="28"/>
    <col width="9.609999999999999" customWidth="1" style="168" min="29" max="29"/>
    <col width="15.12" customWidth="1" style="168" min="30" max="30"/>
    <col width="12.49" customWidth="1" style="168" min="31" max="31"/>
    <col width="22.75" customWidth="1" style="168" min="32" max="32"/>
    <col width="8.99" customWidth="1" style="168" min="33" max="257"/>
  </cols>
  <sheetData>
    <row r="1" ht="13.5" customFormat="1" customHeight="1" s="168">
      <c r="A1" s="168" t="inlineStr">
        <is>
          <t>RZ019 塗装包装中在庫連携ﾃﾞｰﾀ  123 LENGTH</t>
        </is>
      </c>
    </row>
    <row r="2" ht="13.5" customHeight="1" s="76">
      <c r="A2" s="168" t="inlineStr">
        <is>
          <t>項目名</t>
        </is>
      </c>
      <c r="B2" s="168" t="inlineStr">
        <is>
          <t>ＦＩＬＥ－ＩＤ</t>
        </is>
      </c>
      <c r="C2" s="168" t="inlineStr">
        <is>
          <t>品番</t>
        </is>
      </c>
      <c r="D2" s="168" t="inlineStr">
        <is>
          <t>ＰＣコード</t>
        </is>
      </c>
      <c r="E2" s="168" t="inlineStr">
        <is>
          <t>倉庫コード</t>
        </is>
      </c>
      <c r="F2" s="168" t="inlineStr">
        <is>
          <t>棚番</t>
        </is>
      </c>
      <c r="G2" s="168" t="inlineStr">
        <is>
          <t>符号</t>
        </is>
      </c>
      <c r="H2" s="168" t="inlineStr">
        <is>
          <t>実在庫数</t>
        </is>
      </c>
      <c r="I2" s="168" t="inlineStr">
        <is>
          <t>符号</t>
        </is>
      </c>
      <c r="J2" s="168" t="inlineStr">
        <is>
          <t>有効在庫数</t>
        </is>
      </c>
      <c r="K2" s="168" t="inlineStr">
        <is>
          <t>符号</t>
        </is>
      </c>
      <c r="L2" s="168" t="inlineStr">
        <is>
          <t>保険在庫数</t>
        </is>
      </c>
      <c r="M2" s="168" t="inlineStr">
        <is>
          <t>符号</t>
        </is>
      </c>
      <c r="N2" s="168" t="inlineStr">
        <is>
          <t>キューイング数</t>
        </is>
      </c>
      <c r="O2" s="168" t="inlineStr">
        <is>
          <t>符号</t>
        </is>
      </c>
      <c r="P2" s="168" t="inlineStr">
        <is>
          <t>完備中在庫数</t>
        </is>
      </c>
      <c r="Q2" s="168" t="inlineStr">
        <is>
          <t>符号</t>
        </is>
      </c>
      <c r="R2" s="168" t="inlineStr">
        <is>
          <t>組合せ中在庫数</t>
        </is>
      </c>
      <c r="S2" s="168" t="inlineStr">
        <is>
          <t>符号</t>
        </is>
      </c>
      <c r="T2" s="168" t="inlineStr">
        <is>
          <t>パッケージ中在庫数</t>
        </is>
      </c>
      <c r="U2" s="168" t="inlineStr">
        <is>
          <t>符号</t>
        </is>
      </c>
      <c r="V2" s="168" t="inlineStr">
        <is>
          <t>輸送中在庫数</t>
        </is>
      </c>
      <c r="W2" s="168" t="inlineStr">
        <is>
          <t>符号</t>
        </is>
      </c>
      <c r="X2" s="168" t="inlineStr">
        <is>
          <t>出品機在庫数</t>
        </is>
      </c>
      <c r="Y2" s="168" t="inlineStr">
        <is>
          <t>符号</t>
        </is>
      </c>
      <c r="Z2" s="168" t="inlineStr">
        <is>
          <t>積送未出荷数</t>
        </is>
      </c>
      <c r="AA2" s="168" t="inlineStr">
        <is>
          <t>符号</t>
        </is>
      </c>
      <c r="AB2" s="168" t="inlineStr">
        <is>
          <t>積送側未指示数</t>
        </is>
      </c>
      <c r="AC2" s="168" t="inlineStr">
        <is>
          <t>符号</t>
        </is>
      </c>
      <c r="AD2" s="168" t="inlineStr">
        <is>
          <t>積送側未出荷数</t>
        </is>
      </c>
      <c r="AE2" s="168" t="inlineStr">
        <is>
          <t>シグナル回数</t>
        </is>
      </c>
      <c r="AF2" s="168" t="inlineStr">
        <is>
          <t>余白</t>
        </is>
      </c>
    </row>
    <row r="3" ht="13.5" customHeight="1" s="76">
      <c r="A3" s="168" t="inlineStr">
        <is>
          <t>項目コード</t>
        </is>
      </c>
      <c r="B3" s="168" t="inlineStr">
        <is>
          <t>BFIL</t>
        </is>
      </c>
      <c r="C3" s="168" t="inlineStr">
        <is>
          <t>BHIN</t>
        </is>
      </c>
      <c r="D3" s="168" t="inlineStr">
        <is>
          <t>CPC</t>
        </is>
      </c>
      <c r="E3" s="168" t="inlineStr">
        <is>
          <t>BSOK</t>
        </is>
      </c>
      <c r="F3" s="168" t="inlineStr">
        <is>
          <t>BTAB</t>
        </is>
      </c>
      <c r="G3" s="168" t="inlineStr">
        <is>
          <t>CFUGO1</t>
        </is>
      </c>
      <c r="H3" s="168" t="inlineStr">
        <is>
          <t>SJZK</t>
        </is>
      </c>
      <c r="I3" s="168" t="inlineStr">
        <is>
          <t>CFUGO2</t>
        </is>
      </c>
      <c r="J3" s="168" t="inlineStr">
        <is>
          <t>SUZK</t>
        </is>
      </c>
      <c r="K3" s="168" t="inlineStr">
        <is>
          <t>CFUGO3</t>
        </is>
      </c>
      <c r="L3" s="168" t="inlineStr">
        <is>
          <t>SHZK</t>
        </is>
      </c>
      <c r="M3" s="168" t="inlineStr">
        <is>
          <t>CFUGO4</t>
        </is>
      </c>
      <c r="N3" s="168" t="inlineStr">
        <is>
          <t>SQIG</t>
        </is>
      </c>
      <c r="O3" s="168" t="inlineStr">
        <is>
          <t>CFUGO5</t>
        </is>
      </c>
      <c r="P3" s="168" t="inlineStr">
        <is>
          <t>SKBCZAI</t>
        </is>
      </c>
      <c r="Q3" s="168" t="inlineStr">
        <is>
          <t>CFUGO6</t>
        </is>
      </c>
      <c r="R3" s="168" t="inlineStr">
        <is>
          <t>SKACZAI</t>
        </is>
      </c>
      <c r="S3" s="168" t="inlineStr">
        <is>
          <t>CFUGO7</t>
        </is>
      </c>
      <c r="T3" s="168" t="inlineStr">
        <is>
          <t>SPACZAI</t>
        </is>
      </c>
      <c r="U3" s="168" t="inlineStr">
        <is>
          <t>CFUGO8</t>
        </is>
      </c>
      <c r="V3" s="168" t="inlineStr">
        <is>
          <t>SYSCZAI</t>
        </is>
      </c>
      <c r="W3" s="168" t="inlineStr">
        <is>
          <t>CFUGO9</t>
        </is>
      </c>
      <c r="X3" s="168" t="inlineStr">
        <is>
          <t>SSPKZAI</t>
        </is>
      </c>
      <c r="Y3" s="168" t="inlineStr">
        <is>
          <t>CFUGO10</t>
        </is>
      </c>
      <c r="Z3" s="168" t="inlineStr">
        <is>
          <t>SSSOMSK</t>
        </is>
      </c>
      <c r="AA3" s="168" t="inlineStr">
        <is>
          <t>CFUGO11</t>
        </is>
      </c>
      <c r="AB3" s="168" t="inlineStr">
        <is>
          <t>SSSGSSZ</t>
        </is>
      </c>
      <c r="AC3" s="168" t="inlineStr">
        <is>
          <t>CFUGO12</t>
        </is>
      </c>
      <c r="AD3" s="168" t="inlineStr">
        <is>
          <t>SSSGMSK</t>
        </is>
      </c>
      <c r="AE3" s="168" t="inlineStr">
        <is>
          <t>SSGCTR</t>
        </is>
      </c>
      <c r="AF3" s="168" t="inlineStr">
        <is>
          <t>FILLER</t>
        </is>
      </c>
    </row>
    <row r="4" ht="13.5" customHeight="1" s="76">
      <c r="A4" s="168" t="inlineStr">
        <is>
          <t>型</t>
        </is>
      </c>
      <c r="B4" s="168" t="inlineStr">
        <is>
          <t>X</t>
        </is>
      </c>
      <c r="C4" s="168" t="inlineStr">
        <is>
          <t>X</t>
        </is>
      </c>
      <c r="D4" s="168" t="inlineStr">
        <is>
          <t>X</t>
        </is>
      </c>
      <c r="E4" s="168" t="inlineStr">
        <is>
          <t>X</t>
        </is>
      </c>
      <c r="F4" s="168" t="inlineStr">
        <is>
          <t>X</t>
        </is>
      </c>
      <c r="G4" s="168" t="inlineStr">
        <is>
          <t>X</t>
        </is>
      </c>
      <c r="H4" s="168" t="inlineStr">
        <is>
          <t>X</t>
        </is>
      </c>
      <c r="I4" s="168" t="inlineStr">
        <is>
          <t>X</t>
        </is>
      </c>
      <c r="J4" s="168" t="inlineStr">
        <is>
          <t>X</t>
        </is>
      </c>
      <c r="K4" s="168" t="inlineStr">
        <is>
          <t>X</t>
        </is>
      </c>
      <c r="L4" s="168" t="inlineStr">
        <is>
          <t>X</t>
        </is>
      </c>
      <c r="M4" s="168" t="inlineStr">
        <is>
          <t>X</t>
        </is>
      </c>
      <c r="N4" s="168" t="inlineStr">
        <is>
          <t>X</t>
        </is>
      </c>
      <c r="O4" s="168" t="inlineStr">
        <is>
          <t>X</t>
        </is>
      </c>
      <c r="P4" s="168" t="inlineStr">
        <is>
          <t>X</t>
        </is>
      </c>
      <c r="Q4" s="168" t="inlineStr">
        <is>
          <t>X</t>
        </is>
      </c>
      <c r="R4" s="168" t="inlineStr">
        <is>
          <t>X</t>
        </is>
      </c>
      <c r="S4" s="168" t="inlineStr">
        <is>
          <t>X</t>
        </is>
      </c>
      <c r="T4" s="168" t="inlineStr">
        <is>
          <t>X</t>
        </is>
      </c>
      <c r="U4" s="168" t="inlineStr">
        <is>
          <t>X</t>
        </is>
      </c>
      <c r="V4" s="168" t="inlineStr">
        <is>
          <t>X</t>
        </is>
      </c>
      <c r="W4" s="168" t="inlineStr">
        <is>
          <t>X</t>
        </is>
      </c>
      <c r="X4" s="168" t="inlineStr">
        <is>
          <t>X</t>
        </is>
      </c>
      <c r="Y4" s="168" t="inlineStr">
        <is>
          <t>X</t>
        </is>
      </c>
      <c r="Z4" s="168" t="inlineStr">
        <is>
          <t>X</t>
        </is>
      </c>
      <c r="AA4" s="168" t="inlineStr">
        <is>
          <t>X</t>
        </is>
      </c>
      <c r="AB4" s="168" t="inlineStr">
        <is>
          <t>X</t>
        </is>
      </c>
      <c r="AC4" s="168" t="inlineStr">
        <is>
          <t>X</t>
        </is>
      </c>
      <c r="AD4" s="168" t="inlineStr">
        <is>
          <t>X</t>
        </is>
      </c>
      <c r="AE4" s="168" t="inlineStr">
        <is>
          <t>X</t>
        </is>
      </c>
      <c r="AF4" s="168" t="inlineStr">
        <is>
          <t>X</t>
        </is>
      </c>
    </row>
    <row r="5" ht="13.5" customHeight="1" s="76">
      <c r="A5" s="168" t="inlineStr">
        <is>
          <t>サイズ</t>
        </is>
      </c>
      <c r="B5" s="168" t="inlineStr">
        <is>
          <t>(0002)</t>
        </is>
      </c>
      <c r="C5" s="168" t="inlineStr">
        <is>
          <t>(0013)</t>
        </is>
      </c>
      <c r="D5" s="168" t="inlineStr">
        <is>
          <t>(0002)</t>
        </is>
      </c>
      <c r="E5" s="168" t="inlineStr">
        <is>
          <t>(0002)</t>
        </is>
      </c>
      <c r="F5" s="168" t="inlineStr">
        <is>
          <t>(0008)</t>
        </is>
      </c>
      <c r="G5" s="168" t="inlineStr">
        <is>
          <t>(0001)</t>
        </is>
      </c>
      <c r="H5" s="168" t="inlineStr">
        <is>
          <t>(0007)</t>
        </is>
      </c>
      <c r="I5" s="168" t="inlineStr">
        <is>
          <t>(0001)</t>
        </is>
      </c>
      <c r="J5" s="168" t="inlineStr">
        <is>
          <t>(0007)</t>
        </is>
      </c>
      <c r="K5" s="168" t="inlineStr">
        <is>
          <t>(0001)</t>
        </is>
      </c>
      <c r="L5" s="168" t="inlineStr">
        <is>
          <t>(0007)</t>
        </is>
      </c>
      <c r="M5" s="168" t="inlineStr">
        <is>
          <t>(0001)</t>
        </is>
      </c>
      <c r="N5" s="168" t="inlineStr">
        <is>
          <t>(0007)</t>
        </is>
      </c>
      <c r="O5" s="168" t="inlineStr">
        <is>
          <t>(0001)</t>
        </is>
      </c>
      <c r="P5" s="168" t="inlineStr">
        <is>
          <t>(0007)</t>
        </is>
      </c>
      <c r="Q5" s="168" t="inlineStr">
        <is>
          <t>(0001)</t>
        </is>
      </c>
      <c r="R5" s="168" t="inlineStr">
        <is>
          <t>(0007)</t>
        </is>
      </c>
      <c r="S5" s="168" t="inlineStr">
        <is>
          <t>(0001)</t>
        </is>
      </c>
      <c r="T5" s="168" t="inlineStr">
        <is>
          <t>(0007)</t>
        </is>
      </c>
      <c r="U5" s="168" t="inlineStr">
        <is>
          <t>(0001)</t>
        </is>
      </c>
      <c r="V5" s="168" t="inlineStr">
        <is>
          <t>(0007)</t>
        </is>
      </c>
      <c r="W5" s="168" t="inlineStr">
        <is>
          <t>(0001)</t>
        </is>
      </c>
      <c r="X5" s="168" t="inlineStr">
        <is>
          <t>(0007)</t>
        </is>
      </c>
      <c r="Y5" s="168" t="inlineStr">
        <is>
          <t>(0001)</t>
        </is>
      </c>
      <c r="Z5" s="168" t="inlineStr">
        <is>
          <t>(0007)</t>
        </is>
      </c>
      <c r="AA5" s="168" t="inlineStr">
        <is>
          <t>(0001)</t>
        </is>
      </c>
      <c r="AB5" s="168" t="inlineStr">
        <is>
          <t>(0007)</t>
        </is>
      </c>
      <c r="AC5" s="168" t="inlineStr">
        <is>
          <t>(0001)</t>
        </is>
      </c>
      <c r="AD5" s="168" t="inlineStr">
        <is>
          <t>(0007)</t>
        </is>
      </c>
      <c r="AE5" s="168" t="inlineStr">
        <is>
          <t>(0007)</t>
        </is>
      </c>
      <c r="AF5" s="168" t="inlineStr">
        <is>
          <t>(0020)</t>
        </is>
      </c>
    </row>
    <row r="6" ht="13.5" customFormat="1" customHeight="1" s="75">
      <c r="A6" s="75" t="inlineStr">
        <is>
          <t>７行目から入力してください</t>
        </is>
      </c>
      <c r="B6" s="75">
        <f>MIDB($A6,1,2)</f>
        <v/>
      </c>
      <c r="C6" s="75">
        <f>MIDB($A6,3,13)</f>
        <v/>
      </c>
      <c r="D6" s="75">
        <f>MIDB($A6,16,2)</f>
        <v/>
      </c>
      <c r="E6" s="75">
        <f>MIDB($A6,18,2)</f>
        <v/>
      </c>
      <c r="F6" s="75">
        <f>MIDB($A6,20,8)</f>
        <v/>
      </c>
      <c r="G6" s="75">
        <f>MIDB($A6,28,1)</f>
        <v/>
      </c>
      <c r="H6" s="75">
        <f>MIDB($A6,29,7)</f>
        <v/>
      </c>
      <c r="I6" s="75">
        <f>MIDB($A6,36,1)</f>
        <v/>
      </c>
      <c r="J6" s="75">
        <f>MIDB($A6,37,7)</f>
        <v/>
      </c>
      <c r="K6" s="75">
        <f>MIDB($A6,44,1)</f>
        <v/>
      </c>
      <c r="L6" s="75">
        <f>MIDB($A6,45,7)</f>
        <v/>
      </c>
      <c r="M6" s="75">
        <f>MIDB($A6,52,1)</f>
        <v/>
      </c>
      <c r="N6" s="75">
        <f>MIDB($A6,53,7)</f>
        <v/>
      </c>
      <c r="O6" s="75">
        <f>MIDB($A6,60,1)</f>
        <v/>
      </c>
      <c r="P6" s="75">
        <f>MIDB($A6,61,7)</f>
        <v/>
      </c>
      <c r="Q6" s="75">
        <f>MIDB($A6,68,1)</f>
        <v/>
      </c>
      <c r="R6" s="75">
        <f>MIDB($A6,69,7)</f>
        <v/>
      </c>
      <c r="S6" s="75">
        <f>MIDB($A6,76,1)</f>
        <v/>
      </c>
      <c r="T6" s="75">
        <f>MIDB($A6,77,7)</f>
        <v/>
      </c>
      <c r="U6" s="75">
        <f>MIDB($A6,84,1)</f>
        <v/>
      </c>
      <c r="V6" s="75">
        <f>MIDB($A6,85,7)</f>
        <v/>
      </c>
      <c r="W6" s="75">
        <f>MIDB($A6,92,1)</f>
        <v/>
      </c>
      <c r="X6" s="75">
        <f>MIDB($A6,93,7)</f>
        <v/>
      </c>
      <c r="Y6" s="75">
        <f>MIDB($A6,100,1)</f>
        <v/>
      </c>
      <c r="Z6" s="75">
        <f>MIDB($A6,101,7)</f>
        <v/>
      </c>
      <c r="AA6" s="75">
        <f>MIDB($A6,108,1)</f>
        <v/>
      </c>
      <c r="AB6" s="75">
        <f>MIDB($A6,109,7)</f>
        <v/>
      </c>
      <c r="AC6" s="75">
        <f>MIDB($A6,116,1)</f>
        <v/>
      </c>
      <c r="AD6" s="75">
        <f>MIDB($A6,117,7)</f>
        <v/>
      </c>
      <c r="AE6" s="75">
        <f>MIDB($A6,124,7)</f>
        <v/>
      </c>
      <c r="AF6" s="75">
        <f>MIDB($A6,131,20)</f>
        <v/>
      </c>
    </row>
    <row r="7" ht="13.5" customHeight="1" s="76">
      <c r="A7" s="168" t="inlineStr">
        <is>
          <t xml:space="preserve">FA-000925000   3101G150804 +0000000+0000000+0000000+0000000+0010111+0000000+0000000+0000000+0000000+0000000+0000000+00000000000000                    </t>
        </is>
      </c>
      <c r="B7" s="168" t="inlineStr">
        <is>
          <t>FA</t>
        </is>
      </c>
      <c r="C7" s="168" t="inlineStr">
        <is>
          <t xml:space="preserve">-000925000   </t>
        </is>
      </c>
      <c r="D7" s="168" t="inlineStr">
        <is>
          <t>31</t>
        </is>
      </c>
      <c r="E7" s="168" t="inlineStr">
        <is>
          <t>01</t>
        </is>
      </c>
      <c r="F7" s="168" t="inlineStr">
        <is>
          <t xml:space="preserve">G150804 </t>
        </is>
      </c>
      <c r="G7" s="168" t="inlineStr">
        <is>
          <t>+</t>
        </is>
      </c>
      <c r="H7" s="168" t="inlineStr">
        <is>
          <t>0000000</t>
        </is>
      </c>
      <c r="I7" s="168" t="inlineStr">
        <is>
          <t>+</t>
        </is>
      </c>
      <c r="J7" s="168" t="inlineStr">
        <is>
          <t>0000000</t>
        </is>
      </c>
      <c r="K7" s="168" t="inlineStr">
        <is>
          <t>+</t>
        </is>
      </c>
      <c r="L7" s="168" t="inlineStr">
        <is>
          <t>0000000</t>
        </is>
      </c>
      <c r="M7" s="168" t="inlineStr">
        <is>
          <t>+</t>
        </is>
      </c>
      <c r="N7" s="168" t="inlineStr">
        <is>
          <t>0000000</t>
        </is>
      </c>
      <c r="O7" s="168" t="inlineStr">
        <is>
          <t>+</t>
        </is>
      </c>
      <c r="P7" s="168" t="inlineStr">
        <is>
          <t>0010111</t>
        </is>
      </c>
      <c r="Q7" s="168" t="inlineStr">
        <is>
          <t>+</t>
        </is>
      </c>
      <c r="R7" s="168" t="inlineStr">
        <is>
          <t>0000000</t>
        </is>
      </c>
      <c r="S7" s="168" t="inlineStr">
        <is>
          <t>+</t>
        </is>
      </c>
      <c r="T7" s="168" t="inlineStr">
        <is>
          <t>0000000</t>
        </is>
      </c>
      <c r="U7" s="168" t="inlineStr">
        <is>
          <t>+</t>
        </is>
      </c>
      <c r="V7" s="168" t="inlineStr">
        <is>
          <t>0000000</t>
        </is>
      </c>
      <c r="W7" s="168" t="inlineStr">
        <is>
          <t>+</t>
        </is>
      </c>
      <c r="X7" s="168" t="inlineStr">
        <is>
          <t>0000000</t>
        </is>
      </c>
      <c r="Y7" s="168" t="inlineStr">
        <is>
          <t>+</t>
        </is>
      </c>
      <c r="Z7" s="168" t="inlineStr">
        <is>
          <t>0000000</t>
        </is>
      </c>
      <c r="AA7" s="168" t="inlineStr">
        <is>
          <t>+</t>
        </is>
      </c>
      <c r="AB7" s="168" t="inlineStr">
        <is>
          <t>0000000</t>
        </is>
      </c>
      <c r="AC7" s="168" t="inlineStr">
        <is>
          <t>+</t>
        </is>
      </c>
      <c r="AD7" s="168" t="inlineStr">
        <is>
          <t>0000000</t>
        </is>
      </c>
      <c r="AE7" s="168" t="inlineStr">
        <is>
          <t>0000000</t>
        </is>
      </c>
      <c r="AF7" s="168" t="inlineStr">
        <is>
          <t>                    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73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T9" activeCellId="0" sqref="T9"/>
    </sheetView>
  </sheetViews>
  <sheetFormatPr baseColWidth="8" defaultColWidth="3.4921875" defaultRowHeight="15" zeroHeight="0" outlineLevelRow="0"/>
  <cols>
    <col width="3.62" customWidth="1" style="75" min="1" max="1"/>
    <col width="4.61" customWidth="1" style="75" min="2" max="2"/>
    <col width="21.25" customWidth="1" style="75" min="3" max="3"/>
    <col width="14.11" customWidth="1" style="75" min="4" max="4"/>
    <col width="5.37" customWidth="1" style="75" min="5" max="5"/>
    <col width="6.61" customWidth="1" style="75" min="6" max="7"/>
    <col width="5.61" customWidth="1" style="75" min="8" max="8"/>
    <col width="6.61" customWidth="1" style="75" min="9" max="9"/>
    <col width="4.49" customWidth="1" style="75" min="10" max="10"/>
    <col width="6.12" customWidth="1" style="75" min="11" max="11"/>
    <col width="9.609999999999999" customWidth="1" style="75" min="12" max="12"/>
  </cols>
  <sheetData>
    <row r="1" ht="39.95" customHeight="1" s="76">
      <c r="A1" s="77" t="inlineStr">
        <is>
          <t>レコード仕様書</t>
        </is>
      </c>
    </row>
    <row r="2" ht="23.1" customHeight="1" s="76">
      <c r="A2" s="78" t="inlineStr">
        <is>
          <t>№</t>
        </is>
      </c>
      <c r="B2" s="79" t="inlineStr">
        <is>
          <t>LVL</t>
        </is>
      </c>
      <c r="C2" s="79" t="inlineStr">
        <is>
          <t>項目名</t>
        </is>
      </c>
      <c r="D2" s="80" t="inlineStr">
        <is>
          <t>項目コード</t>
        </is>
      </c>
      <c r="E2" s="79" t="inlineStr">
        <is>
          <t>Type</t>
        </is>
      </c>
      <c r="F2" s="81" t="inlineStr">
        <is>
          <t>Leng　　(整数)</t>
        </is>
      </c>
      <c r="G2" s="82" t="inlineStr">
        <is>
          <t>Leng　　(小数)</t>
        </is>
      </c>
      <c r="H2" s="79" t="inlineStr">
        <is>
          <t>上限</t>
        </is>
      </c>
      <c r="I2" s="83" t="inlineStr">
        <is>
          <t>Byte</t>
        </is>
      </c>
      <c r="J2" s="79" t="inlineStr">
        <is>
          <t>ｱﾚ-</t>
        </is>
      </c>
      <c r="K2" s="84" t="inlineStr">
        <is>
          <t>備考</t>
        </is>
      </c>
      <c r="L2" s="85" t="n"/>
    </row>
    <row r="3" ht="23.1" customHeight="1" s="76">
      <c r="A3" s="87" t="n">
        <v>1</v>
      </c>
      <c r="B3" s="88" t="inlineStr">
        <is>
          <t>03</t>
        </is>
      </c>
      <c r="C3" s="89" t="inlineStr">
        <is>
          <t>ＦＩＬＥ－ＩＤ</t>
        </is>
      </c>
      <c r="D3" s="90" t="inlineStr">
        <is>
          <t>BFIL</t>
        </is>
      </c>
      <c r="E3" s="91" t="inlineStr">
        <is>
          <t>C</t>
        </is>
      </c>
      <c r="F3" s="92" t="n">
        <v>2</v>
      </c>
      <c r="G3" s="93" t="n"/>
      <c r="H3" s="94" t="n">
        <v>1</v>
      </c>
      <c r="I3" s="92" t="n">
        <v>2</v>
      </c>
      <c r="J3" s="95" t="n"/>
      <c r="K3" s="96" t="inlineStr">
        <is>
          <t>'FA'</t>
        </is>
      </c>
      <c r="L3" s="97" t="n"/>
    </row>
    <row r="4" ht="23.1" customHeight="1" s="76">
      <c r="A4" s="99" t="n">
        <v>2</v>
      </c>
      <c r="B4" s="100" t="inlineStr">
        <is>
          <t>03</t>
        </is>
      </c>
      <c r="C4" s="89" t="inlineStr">
        <is>
          <t>品番</t>
        </is>
      </c>
      <c r="D4" s="101" t="inlineStr">
        <is>
          <t>BHIN</t>
        </is>
      </c>
      <c r="E4" s="100" t="inlineStr">
        <is>
          <t>C</t>
        </is>
      </c>
      <c r="F4" s="102" t="n">
        <v>13</v>
      </c>
      <c r="G4" s="103" t="n"/>
      <c r="H4" s="104">
        <f>SUM(H3,I3)</f>
        <v/>
      </c>
      <c r="I4" s="102" t="n">
        <v>13</v>
      </c>
      <c r="J4" s="104" t="n"/>
      <c r="K4" s="105" t="n"/>
      <c r="L4" s="106" t="n"/>
    </row>
    <row r="5" ht="23.1" customHeight="1" s="76">
      <c r="A5" s="99" t="n">
        <v>3</v>
      </c>
      <c r="B5" s="100" t="inlineStr">
        <is>
          <t>03</t>
        </is>
      </c>
      <c r="C5" s="89" t="inlineStr">
        <is>
          <t>ＰＣ区分</t>
        </is>
      </c>
      <c r="D5" s="101" t="inlineStr">
        <is>
          <t>CPC</t>
        </is>
      </c>
      <c r="E5" s="100" t="inlineStr">
        <is>
          <t>C</t>
        </is>
      </c>
      <c r="F5" s="102" t="n">
        <v>2</v>
      </c>
      <c r="G5" s="103" t="n"/>
      <c r="H5" s="104">
        <f>SUM(H4,I4)</f>
        <v/>
      </c>
      <c r="I5" s="102" t="n">
        <v>2</v>
      </c>
      <c r="J5" s="104" t="n"/>
      <c r="K5" s="105" t="inlineStr">
        <is>
          <t>倉庫コード</t>
        </is>
      </c>
      <c r="L5" s="106" t="n"/>
    </row>
    <row r="6" ht="23.1" customHeight="1" s="76">
      <c r="A6" s="99" t="n">
        <v>4</v>
      </c>
      <c r="B6" s="100" t="inlineStr">
        <is>
          <t>03</t>
        </is>
      </c>
      <c r="C6" s="89" t="inlineStr">
        <is>
          <t>倉庫</t>
        </is>
      </c>
      <c r="D6" s="101" t="inlineStr">
        <is>
          <t>BSOK</t>
        </is>
      </c>
      <c r="E6" s="100" t="inlineStr">
        <is>
          <t>C</t>
        </is>
      </c>
      <c r="F6" s="102" t="n">
        <v>2</v>
      </c>
      <c r="G6" s="103" t="n"/>
      <c r="H6" s="104">
        <f>SUM(H5,I5)</f>
        <v/>
      </c>
      <c r="I6" s="102" t="n">
        <v>2</v>
      </c>
      <c r="J6" s="104" t="n"/>
      <c r="K6" s="105" t="inlineStr">
        <is>
          <t>サブ倉庫コード</t>
        </is>
      </c>
      <c r="L6" s="106" t="n"/>
    </row>
    <row r="7" ht="23.1" customHeight="1" s="76">
      <c r="A7" s="99" t="n">
        <v>5</v>
      </c>
      <c r="B7" s="100" t="inlineStr">
        <is>
          <t>03</t>
        </is>
      </c>
      <c r="C7" s="89" t="inlineStr">
        <is>
          <t>棚番</t>
        </is>
      </c>
      <c r="D7" s="101" t="inlineStr">
        <is>
          <t>BTAB</t>
        </is>
      </c>
      <c r="E7" s="100" t="inlineStr">
        <is>
          <t>C</t>
        </is>
      </c>
      <c r="F7" s="102" t="n">
        <v>8</v>
      </c>
      <c r="G7" s="103" t="n"/>
      <c r="H7" s="104">
        <f>SUM(H6,I6)</f>
        <v/>
      </c>
      <c r="I7" s="102" t="n">
        <v>8</v>
      </c>
      <c r="J7" s="104" t="n"/>
      <c r="K7" s="105" t="n"/>
      <c r="L7" s="106" t="n"/>
    </row>
    <row r="8" ht="23.1" customHeight="1" s="76">
      <c r="A8" s="99" t="n">
        <v>6</v>
      </c>
      <c r="B8" s="100" t="inlineStr">
        <is>
          <t>03</t>
        </is>
      </c>
      <c r="C8" s="89" t="inlineStr">
        <is>
          <t>符号</t>
        </is>
      </c>
      <c r="D8" s="101" t="inlineStr">
        <is>
          <t>CFUGo2</t>
        </is>
      </c>
      <c r="E8" s="100" t="inlineStr">
        <is>
          <t>C</t>
        </is>
      </c>
      <c r="F8" s="102" t="n">
        <v>1</v>
      </c>
      <c r="G8" s="103" t="n"/>
      <c r="H8" s="104">
        <f>SUM(H7,I7)</f>
        <v/>
      </c>
      <c r="I8" s="102" t="n">
        <v>1</v>
      </c>
      <c r="J8" s="104" t="n"/>
      <c r="K8" s="105" t="n"/>
      <c r="L8" s="106" t="n"/>
    </row>
    <row r="9" ht="23.1" customHeight="1" s="76">
      <c r="A9" s="99" t="n">
        <v>7</v>
      </c>
      <c r="B9" s="100" t="inlineStr">
        <is>
          <t>03</t>
        </is>
      </c>
      <c r="C9" s="89" t="inlineStr">
        <is>
          <t>実在庫数</t>
        </is>
      </c>
      <c r="D9" s="101" t="inlineStr">
        <is>
          <t>SJZK</t>
        </is>
      </c>
      <c r="E9" s="100" t="inlineStr">
        <is>
          <t>C</t>
        </is>
      </c>
      <c r="F9" s="102" t="n">
        <v>7</v>
      </c>
      <c r="G9" s="103" t="n"/>
      <c r="H9" s="104">
        <f>SUM(H8,I8)</f>
        <v/>
      </c>
      <c r="I9" s="102" t="n">
        <v>7</v>
      </c>
      <c r="J9" s="104" t="n"/>
      <c r="K9" s="105" t="n"/>
      <c r="L9" s="106" t="n"/>
    </row>
    <row r="10" ht="23.1" customHeight="1" s="76">
      <c r="A10" s="99" t="n">
        <v>8</v>
      </c>
      <c r="B10" s="100" t="inlineStr">
        <is>
          <t>03</t>
        </is>
      </c>
      <c r="C10" s="89" t="inlineStr">
        <is>
          <t>符号</t>
        </is>
      </c>
      <c r="D10" s="101" t="inlineStr">
        <is>
          <t>CFUGo1</t>
        </is>
      </c>
      <c r="E10" s="100" t="inlineStr">
        <is>
          <t>C</t>
        </is>
      </c>
      <c r="F10" s="102" t="n">
        <v>1</v>
      </c>
      <c r="G10" s="103" t="n"/>
      <c r="H10" s="104">
        <f>SUM(H9,I9)</f>
        <v/>
      </c>
      <c r="I10" s="102" t="n">
        <v>1</v>
      </c>
      <c r="J10" s="104" t="n"/>
      <c r="K10" s="105" t="n"/>
      <c r="L10" s="106" t="n"/>
    </row>
    <row r="11" ht="23.1" customHeight="1" s="76">
      <c r="A11" s="99" t="n">
        <v>9</v>
      </c>
      <c r="B11" s="100" t="inlineStr">
        <is>
          <t>03</t>
        </is>
      </c>
      <c r="C11" s="89" t="inlineStr">
        <is>
          <t>有効在庫数</t>
        </is>
      </c>
      <c r="D11" s="101" t="inlineStr">
        <is>
          <t>SUZK</t>
        </is>
      </c>
      <c r="E11" s="100" t="inlineStr">
        <is>
          <t>C</t>
        </is>
      </c>
      <c r="F11" s="102" t="n">
        <v>7</v>
      </c>
      <c r="G11" s="103" t="n"/>
      <c r="H11" s="104">
        <f>SUM(H10,I10)</f>
        <v/>
      </c>
      <c r="I11" s="102" t="n">
        <v>7</v>
      </c>
      <c r="J11" s="104" t="n"/>
      <c r="K11" s="111" t="n"/>
      <c r="L11" s="106" t="n"/>
    </row>
    <row r="12" ht="23.1" customHeight="1" s="76">
      <c r="A12" s="99" t="inlineStr">
        <is>
          <t>10</t>
        </is>
      </c>
      <c r="B12" s="100" t="inlineStr">
        <is>
          <t>03</t>
        </is>
      </c>
      <c r="C12" s="89" t="inlineStr">
        <is>
          <t>符号</t>
        </is>
      </c>
      <c r="D12" s="101" t="inlineStr">
        <is>
          <t>CFUGo1</t>
        </is>
      </c>
      <c r="E12" s="100" t="inlineStr">
        <is>
          <t>C</t>
        </is>
      </c>
      <c r="F12" s="102" t="n">
        <v>1</v>
      </c>
      <c r="G12" s="103" t="n"/>
      <c r="H12" s="104">
        <f>SUM(H11,I11)</f>
        <v/>
      </c>
      <c r="I12" s="102" t="n">
        <v>1</v>
      </c>
      <c r="J12" s="104" t="n"/>
      <c r="K12" s="111" t="n"/>
      <c r="L12" s="106" t="n"/>
    </row>
    <row r="13" ht="23.1" customHeight="1" s="76">
      <c r="A13" s="99" t="inlineStr">
        <is>
          <t>11</t>
        </is>
      </c>
      <c r="B13" s="100" t="inlineStr">
        <is>
          <t>03</t>
        </is>
      </c>
      <c r="C13" s="89" t="inlineStr">
        <is>
          <t>保険在庫８０</t>
        </is>
      </c>
      <c r="D13" s="101" t="inlineStr">
        <is>
          <t>SHZK80</t>
        </is>
      </c>
      <c r="E13" s="100" t="inlineStr">
        <is>
          <t>C</t>
        </is>
      </c>
      <c r="F13" s="102" t="n">
        <v>7</v>
      </c>
      <c r="G13" s="103" t="n"/>
      <c r="H13" s="104">
        <f>SUM(H12,I12)</f>
        <v/>
      </c>
      <c r="I13" s="102" t="n">
        <v>7</v>
      </c>
      <c r="J13" s="104" t="n"/>
      <c r="K13" s="105" t="n"/>
      <c r="L13" s="106" t="n"/>
    </row>
    <row r="14" ht="23.1" customHeight="1" s="76">
      <c r="A14" s="99" t="inlineStr">
        <is>
          <t>12</t>
        </is>
      </c>
      <c r="B14" s="100" t="inlineStr">
        <is>
          <t>03</t>
        </is>
      </c>
      <c r="C14" s="89" t="inlineStr">
        <is>
          <t>符号</t>
        </is>
      </c>
      <c r="D14" s="101" t="inlineStr">
        <is>
          <t>CFUGO4</t>
        </is>
      </c>
      <c r="E14" s="100" t="inlineStr">
        <is>
          <t>C</t>
        </is>
      </c>
      <c r="F14" s="102" t="n">
        <v>1</v>
      </c>
      <c r="G14" s="103" t="n"/>
      <c r="H14" s="104">
        <f>SUM(H13,I13)</f>
        <v/>
      </c>
      <c r="I14" s="102" t="n">
        <v>1</v>
      </c>
      <c r="J14" s="104" t="n"/>
      <c r="K14" s="111" t="n"/>
      <c r="L14" s="106" t="n"/>
    </row>
    <row r="15" ht="23.1" customHeight="1" s="76">
      <c r="A15" s="99" t="inlineStr">
        <is>
          <t>13</t>
        </is>
      </c>
      <c r="B15" s="100" t="inlineStr">
        <is>
          <t>03</t>
        </is>
      </c>
      <c r="C15" s="89" t="inlineStr">
        <is>
          <t>キューイング数８１</t>
        </is>
      </c>
      <c r="D15" s="101" t="inlineStr">
        <is>
          <t>SQIG81</t>
        </is>
      </c>
      <c r="E15" s="100" t="inlineStr">
        <is>
          <t>C</t>
        </is>
      </c>
      <c r="F15" s="102" t="n">
        <v>7</v>
      </c>
      <c r="G15" s="103" t="n"/>
      <c r="H15" s="104">
        <f>SUM(H14,I14)</f>
        <v/>
      </c>
      <c r="I15" s="102" t="n">
        <v>7</v>
      </c>
      <c r="J15" s="104" t="n"/>
      <c r="K15" s="111" t="n"/>
      <c r="L15" s="106" t="n"/>
    </row>
    <row r="16" ht="23.1" customHeight="1" s="76">
      <c r="A16" s="99" t="inlineStr">
        <is>
          <t>14</t>
        </is>
      </c>
      <c r="B16" s="100" t="inlineStr">
        <is>
          <t>03</t>
        </is>
      </c>
      <c r="C16" s="89" t="inlineStr">
        <is>
          <t>符号</t>
        </is>
      </c>
      <c r="D16" s="101" t="inlineStr">
        <is>
          <t>CFUGO5</t>
        </is>
      </c>
      <c r="E16" s="100" t="inlineStr">
        <is>
          <t>C</t>
        </is>
      </c>
      <c r="F16" s="102" t="n">
        <v>1</v>
      </c>
      <c r="G16" s="103" t="n"/>
      <c r="H16" s="104">
        <f>SUM(H15,I15)</f>
        <v/>
      </c>
      <c r="I16" s="102" t="n">
        <v>1</v>
      </c>
      <c r="J16" s="104" t="n"/>
      <c r="K16" s="111" t="n"/>
      <c r="L16" s="106" t="n"/>
    </row>
    <row r="17" ht="23.1" customHeight="1" s="76">
      <c r="A17" s="99" t="inlineStr">
        <is>
          <t>15</t>
        </is>
      </c>
      <c r="B17" s="100" t="inlineStr">
        <is>
          <t>03</t>
        </is>
      </c>
      <c r="C17" s="89" t="inlineStr">
        <is>
          <t>完備中在庫８２</t>
        </is>
      </c>
      <c r="D17" s="101" t="inlineStr">
        <is>
          <t>SKBCZAI82</t>
        </is>
      </c>
      <c r="E17" s="100" t="inlineStr">
        <is>
          <t>C</t>
        </is>
      </c>
      <c r="F17" s="102" t="n">
        <v>7</v>
      </c>
      <c r="G17" s="103" t="n"/>
      <c r="H17" s="104">
        <f>SUM(H16,I16)</f>
        <v/>
      </c>
      <c r="I17" s="102" t="n">
        <v>7</v>
      </c>
      <c r="J17" s="104" t="n"/>
      <c r="K17" s="111" t="n"/>
      <c r="L17" s="106" t="n"/>
    </row>
    <row r="18" ht="23.1" customHeight="1" s="76">
      <c r="A18" s="99" t="inlineStr">
        <is>
          <t>16</t>
        </is>
      </c>
      <c r="B18" s="100" t="inlineStr">
        <is>
          <t>03</t>
        </is>
      </c>
      <c r="C18" s="89" t="inlineStr">
        <is>
          <t>符号</t>
        </is>
      </c>
      <c r="D18" s="101" t="inlineStr">
        <is>
          <t>CFUGO6</t>
        </is>
      </c>
      <c r="E18" s="100" t="inlineStr">
        <is>
          <t>C</t>
        </is>
      </c>
      <c r="F18" s="102" t="n">
        <v>1</v>
      </c>
      <c r="G18" s="103" t="n"/>
      <c r="H18" s="104">
        <f>SUM(H17,I17)</f>
        <v/>
      </c>
      <c r="I18" s="102" t="n">
        <v>1</v>
      </c>
      <c r="J18" s="104" t="n"/>
      <c r="K18" s="111" t="n"/>
      <c r="L18" s="106" t="n"/>
    </row>
    <row r="19" ht="23.1" customHeight="1" s="76">
      <c r="A19" s="99" t="inlineStr">
        <is>
          <t>17</t>
        </is>
      </c>
      <c r="B19" s="100" t="inlineStr">
        <is>
          <t>03</t>
        </is>
      </c>
      <c r="C19" s="89" t="inlineStr">
        <is>
          <t>組合せ中在庫８３</t>
        </is>
      </c>
      <c r="D19" s="101" t="inlineStr">
        <is>
          <t>SKACZAI83</t>
        </is>
      </c>
      <c r="E19" s="100" t="inlineStr">
        <is>
          <t>C</t>
        </is>
      </c>
      <c r="F19" s="102" t="n">
        <v>7</v>
      </c>
      <c r="G19" s="103" t="n"/>
      <c r="H19" s="104">
        <f>SUM(H18,I18)</f>
        <v/>
      </c>
      <c r="I19" s="102" t="n">
        <v>7</v>
      </c>
      <c r="J19" s="104" t="n"/>
      <c r="K19" s="111" t="n"/>
      <c r="L19" s="106" t="n"/>
    </row>
    <row r="20" ht="23.1" customHeight="1" s="76">
      <c r="A20" s="99" t="inlineStr">
        <is>
          <t>18</t>
        </is>
      </c>
      <c r="B20" s="100" t="inlineStr">
        <is>
          <t>03</t>
        </is>
      </c>
      <c r="C20" s="89" t="inlineStr">
        <is>
          <t>符号</t>
        </is>
      </c>
      <c r="D20" s="101" t="inlineStr">
        <is>
          <t>CFUGO7</t>
        </is>
      </c>
      <c r="E20" s="100" t="inlineStr">
        <is>
          <t>C</t>
        </is>
      </c>
      <c r="F20" s="102" t="n">
        <v>1</v>
      </c>
      <c r="G20" s="103" t="n"/>
      <c r="H20" s="104">
        <f>SUM(H19,I19)</f>
        <v/>
      </c>
      <c r="I20" s="102" t="n">
        <v>1</v>
      </c>
      <c r="J20" s="104" t="n"/>
      <c r="K20" s="111" t="n"/>
      <c r="L20" s="106" t="n"/>
    </row>
    <row r="21" ht="23.1" customHeight="1" s="76">
      <c r="A21" s="99" t="inlineStr">
        <is>
          <t>19</t>
        </is>
      </c>
      <c r="B21" s="100" t="inlineStr">
        <is>
          <t>03</t>
        </is>
      </c>
      <c r="C21" s="89" t="inlineStr">
        <is>
          <t>パッケージ中在庫８５</t>
        </is>
      </c>
      <c r="D21" s="101" t="inlineStr">
        <is>
          <t>SPACZAI85</t>
        </is>
      </c>
      <c r="E21" s="100" t="inlineStr">
        <is>
          <t>C</t>
        </is>
      </c>
      <c r="F21" s="102" t="n">
        <v>7</v>
      </c>
      <c r="G21" s="103" t="n"/>
      <c r="H21" s="104">
        <f>SUM(H20,I20)</f>
        <v/>
      </c>
      <c r="I21" s="102" t="n">
        <v>7</v>
      </c>
      <c r="J21" s="104" t="n"/>
      <c r="K21" s="111" t="n"/>
      <c r="L21" s="106" t="n"/>
    </row>
    <row r="22" ht="23.1" customHeight="1" s="76">
      <c r="A22" s="99" t="inlineStr">
        <is>
          <t>20</t>
        </is>
      </c>
      <c r="B22" s="100" t="inlineStr">
        <is>
          <t>03</t>
        </is>
      </c>
      <c r="C22" s="89" t="inlineStr">
        <is>
          <t>符号</t>
        </is>
      </c>
      <c r="D22" s="101" t="inlineStr">
        <is>
          <t>CFUGO8</t>
        </is>
      </c>
      <c r="E22" s="100" t="inlineStr">
        <is>
          <t>C</t>
        </is>
      </c>
      <c r="F22" s="102" t="n">
        <v>1</v>
      </c>
      <c r="G22" s="103" t="n"/>
      <c r="H22" s="104">
        <f>SUM(H21,I21)</f>
        <v/>
      </c>
      <c r="I22" s="102" t="n">
        <v>1</v>
      </c>
      <c r="J22" s="104" t="n"/>
      <c r="K22" s="111" t="n"/>
      <c r="L22" s="106" t="n"/>
    </row>
    <row r="23" ht="23.1" customHeight="1" s="76">
      <c r="A23" s="99" t="n">
        <v>21</v>
      </c>
      <c r="B23" s="100" t="inlineStr">
        <is>
          <t>03</t>
        </is>
      </c>
      <c r="C23" s="89" t="inlineStr">
        <is>
          <t>輸送中在庫８６</t>
        </is>
      </c>
      <c r="D23" s="101" t="inlineStr">
        <is>
          <t>SYSCZAI86</t>
        </is>
      </c>
      <c r="E23" s="100" t="inlineStr">
        <is>
          <t>C</t>
        </is>
      </c>
      <c r="F23" s="102" t="n">
        <v>7</v>
      </c>
      <c r="G23" s="103" t="n"/>
      <c r="H23" s="104">
        <f>SUM(H22,I22)</f>
        <v/>
      </c>
      <c r="I23" s="102" t="n">
        <v>7</v>
      </c>
      <c r="J23" s="104" t="n"/>
      <c r="K23" s="111" t="n"/>
      <c r="L23" s="106" t="n"/>
    </row>
    <row r="24" ht="23.1" customHeight="1" s="76">
      <c r="A24" s="99" t="n">
        <v>22</v>
      </c>
      <c r="B24" s="100" t="inlineStr">
        <is>
          <t>03</t>
        </is>
      </c>
      <c r="C24" s="89" t="inlineStr">
        <is>
          <t>符号</t>
        </is>
      </c>
      <c r="D24" s="101" t="inlineStr">
        <is>
          <t>CFUGO9</t>
        </is>
      </c>
      <c r="E24" s="100" t="inlineStr">
        <is>
          <t>C</t>
        </is>
      </c>
      <c r="F24" s="102" t="n">
        <v>1</v>
      </c>
      <c r="G24" s="103" t="n"/>
      <c r="H24" s="104">
        <f>SUM(H23,I23)</f>
        <v/>
      </c>
      <c r="I24" s="102" t="n">
        <v>1</v>
      </c>
      <c r="J24" s="104" t="n"/>
      <c r="K24" s="105" t="n"/>
      <c r="L24" s="106" t="n"/>
    </row>
    <row r="25" ht="23.1" customHeight="1" s="76">
      <c r="A25" s="99" t="n">
        <v>23</v>
      </c>
      <c r="B25" s="100" t="inlineStr">
        <is>
          <t>03</t>
        </is>
      </c>
      <c r="C25" s="89" t="inlineStr">
        <is>
          <t>出品機、修理、他８７</t>
        </is>
      </c>
      <c r="D25" s="101" t="inlineStr">
        <is>
          <t>SSPK87</t>
        </is>
      </c>
      <c r="E25" s="100" t="inlineStr">
        <is>
          <t>C</t>
        </is>
      </c>
      <c r="F25" s="102" t="n">
        <v>7</v>
      </c>
      <c r="G25" s="103" t="n"/>
      <c r="H25" s="104">
        <f>SUM(H24,I24)</f>
        <v/>
      </c>
      <c r="I25" s="102" t="n">
        <v>7</v>
      </c>
      <c r="J25" s="104" t="n"/>
      <c r="K25" s="105" t="n"/>
      <c r="L25" s="106" t="n"/>
    </row>
    <row r="26" ht="23.1" customHeight="1" s="76">
      <c r="A26" s="99" t="n">
        <v>24</v>
      </c>
      <c r="B26" s="100" t="inlineStr">
        <is>
          <t>03</t>
        </is>
      </c>
      <c r="C26" s="89" t="inlineStr">
        <is>
          <t>符号</t>
        </is>
      </c>
      <c r="D26" s="101" t="inlineStr">
        <is>
          <t>CFUGo20</t>
        </is>
      </c>
      <c r="E26" s="100" t="inlineStr">
        <is>
          <t>C</t>
        </is>
      </c>
      <c r="F26" s="102" t="n">
        <v>1</v>
      </c>
      <c r="G26" s="103" t="n"/>
      <c r="H26" s="104">
        <f>SUM(H25,I25)</f>
        <v/>
      </c>
      <c r="I26" s="102" t="n">
        <v>1</v>
      </c>
      <c r="J26" s="104" t="n"/>
      <c r="K26" s="105" t="n"/>
      <c r="L26" s="106" t="n"/>
    </row>
    <row r="27" ht="22.5" customHeight="1" s="76">
      <c r="A27" s="99" t="n">
        <v>25</v>
      </c>
      <c r="B27" s="100" t="inlineStr">
        <is>
          <t>03</t>
        </is>
      </c>
      <c r="C27" s="89" t="inlineStr">
        <is>
          <t>積送未出荷数８８</t>
        </is>
      </c>
      <c r="D27" s="101" t="inlineStr">
        <is>
          <t>SSSOMSK</t>
        </is>
      </c>
      <c r="E27" s="100" t="inlineStr">
        <is>
          <t>C</t>
        </is>
      </c>
      <c r="F27" s="102" t="n">
        <v>7</v>
      </c>
      <c r="G27" s="103" t="n"/>
      <c r="H27" s="104">
        <f>SUM(H26,I26)</f>
        <v/>
      </c>
      <c r="I27" s="102" t="n">
        <v>7</v>
      </c>
      <c r="J27" s="104" t="n"/>
      <c r="K27" s="105" t="n"/>
      <c r="L27" s="106" t="n"/>
    </row>
    <row r="28" ht="23.1" customHeight="1" s="76">
      <c r="A28" s="99" t="n">
        <v>26</v>
      </c>
      <c r="B28" s="100" t="inlineStr">
        <is>
          <t>03</t>
        </is>
      </c>
      <c r="C28" s="89" t="inlineStr">
        <is>
          <t>符号</t>
        </is>
      </c>
      <c r="D28" s="101" t="inlineStr">
        <is>
          <t>CFUGo21</t>
        </is>
      </c>
      <c r="E28" s="100" t="inlineStr">
        <is>
          <t>C</t>
        </is>
      </c>
      <c r="F28" s="102" t="n">
        <v>1</v>
      </c>
      <c r="G28" s="103" t="n"/>
      <c r="H28" s="104">
        <f>SUM(H27,I27)</f>
        <v/>
      </c>
      <c r="I28" s="102" t="n">
        <v>1</v>
      </c>
      <c r="J28" s="104" t="n"/>
      <c r="K28" s="105" t="n"/>
      <c r="L28" s="106" t="n"/>
    </row>
    <row r="29" ht="23.1" customHeight="1" s="76">
      <c r="A29" s="99" t="n">
        <v>27</v>
      </c>
      <c r="B29" s="100" t="inlineStr">
        <is>
          <t>03</t>
        </is>
      </c>
      <c r="C29" s="89" t="inlineStr">
        <is>
          <t>積送受注残</t>
        </is>
      </c>
      <c r="D29" s="101" t="inlineStr">
        <is>
          <t>SSSJUCZ</t>
        </is>
      </c>
      <c r="E29" s="100" t="inlineStr">
        <is>
          <t>C</t>
        </is>
      </c>
      <c r="F29" s="102" t="n">
        <v>7</v>
      </c>
      <c r="G29" s="103" t="n"/>
      <c r="H29" s="104">
        <f>SUM(H28,I28)</f>
        <v/>
      </c>
      <c r="I29" s="102" t="n">
        <v>7</v>
      </c>
      <c r="J29" s="104" t="n"/>
      <c r="K29" s="105" t="n"/>
      <c r="L29" s="106" t="n"/>
    </row>
    <row r="30" ht="23.1" customHeight="1" s="76">
      <c r="A30" s="99" t="n">
        <v>28</v>
      </c>
      <c r="B30" s="100" t="inlineStr">
        <is>
          <t>03</t>
        </is>
      </c>
      <c r="C30" s="89" t="inlineStr">
        <is>
          <t>符号</t>
        </is>
      </c>
      <c r="D30" s="101" t="inlineStr">
        <is>
          <t>CFUGo22</t>
        </is>
      </c>
      <c r="E30" s="100" t="inlineStr">
        <is>
          <t>C</t>
        </is>
      </c>
      <c r="F30" s="102" t="n">
        <v>1</v>
      </c>
      <c r="G30" s="103" t="n"/>
      <c r="H30" s="104">
        <f>SUM(H29,I29)</f>
        <v/>
      </c>
      <c r="I30" s="102" t="n">
        <v>1</v>
      </c>
      <c r="J30" s="104" t="n"/>
      <c r="K30" s="105" t="n"/>
      <c r="L30" s="106" t="n"/>
    </row>
    <row r="31" ht="23.1" customHeight="1" s="76">
      <c r="A31" s="99" t="n">
        <v>29</v>
      </c>
      <c r="B31" s="100" t="inlineStr">
        <is>
          <t>03</t>
        </is>
      </c>
      <c r="C31" s="89" t="inlineStr">
        <is>
          <t>積送残</t>
        </is>
      </c>
      <c r="D31" s="101" t="inlineStr">
        <is>
          <t>SSSZ</t>
        </is>
      </c>
      <c r="E31" s="100" t="inlineStr">
        <is>
          <t>C</t>
        </is>
      </c>
      <c r="F31" s="102" t="n">
        <v>7</v>
      </c>
      <c r="G31" s="103" t="n"/>
      <c r="H31" s="104">
        <f>SUM(H30,I30)</f>
        <v/>
      </c>
      <c r="I31" s="102" t="n">
        <v>7</v>
      </c>
      <c r="J31" s="104" t="n"/>
      <c r="K31" s="105" t="n"/>
      <c r="L31" s="106" t="n"/>
    </row>
    <row r="32" ht="23.1" customHeight="1" s="76">
      <c r="A32" s="99" t="n"/>
      <c r="B32" s="100" t="n"/>
      <c r="C32" s="89" t="n"/>
      <c r="D32" s="117" t="n"/>
      <c r="E32" s="118" t="n"/>
      <c r="F32" s="119" t="n"/>
      <c r="G32" s="120" t="n"/>
      <c r="H32" s="121" t="n"/>
      <c r="I32" s="122" t="n"/>
      <c r="J32" s="123" t="n"/>
      <c r="K32" s="124" t="n"/>
      <c r="L32" s="125" t="n"/>
    </row>
    <row r="33" ht="23.1" customHeight="1" s="76">
      <c r="A33" s="126" t="n"/>
      <c r="B33" s="126" t="n"/>
      <c r="C33" s="126" t="n"/>
      <c r="D33" s="126" t="n"/>
      <c r="E33" s="127" t="n"/>
      <c r="F33" s="127" t="n"/>
      <c r="G33" s="128" t="n"/>
      <c r="H33" s="129" t="inlineStr">
        <is>
          <t>総Byte</t>
        </is>
      </c>
      <c r="I33" s="130">
        <f>SUM(I3:I32)</f>
        <v/>
      </c>
      <c r="J33" s="131" t="inlineStr">
        <is>
          <t>PAGE</t>
        </is>
      </c>
      <c r="K33" s="132" t="n">
        <v>1</v>
      </c>
      <c r="L33" s="133" t="inlineStr">
        <is>
          <t>/</t>
        </is>
      </c>
    </row>
    <row r="34" ht="21.95" customHeight="1" s="76">
      <c r="A34" s="134" t="inlineStr">
        <is>
          <t>FORM-ID</t>
        </is>
      </c>
      <c r="B34" s="135" t="n"/>
      <c r="C34" s="136" t="n"/>
      <c r="D34" s="137" t="n"/>
      <c r="E34" s="137" t="n"/>
      <c r="F34" s="137" t="n"/>
      <c r="G34" s="137" t="n"/>
      <c r="H34" s="137" t="n"/>
      <c r="I34" s="137" t="n"/>
      <c r="J34" s="137" t="n"/>
      <c r="K34" s="137" t="n"/>
      <c r="L34" s="138" t="n"/>
    </row>
    <row r="35" ht="21.95" customHeight="1" s="76">
      <c r="A35" s="139" t="inlineStr">
        <is>
          <t>レイアウトコ-ド</t>
        </is>
      </c>
      <c r="B35" s="140" t="n"/>
      <c r="C35" s="141" t="inlineStr">
        <is>
          <t>RZ019</t>
        </is>
      </c>
      <c r="D35" s="142" t="inlineStr">
        <is>
          <t>レイアウト名</t>
        </is>
      </c>
      <c r="E35" s="143" t="inlineStr">
        <is>
          <t>塗装包装中在庫連携ﾃﾞｰﾀ</t>
        </is>
      </c>
      <c r="F35" s="144" t="n"/>
      <c r="G35" s="140" t="n"/>
      <c r="H35" s="145" t="inlineStr">
        <is>
          <t>作成者</t>
        </is>
      </c>
      <c r="I35" s="146" t="inlineStr">
        <is>
          <t>安部</t>
        </is>
      </c>
      <c r="J35" s="140" t="n"/>
      <c r="K35" s="145" t="inlineStr">
        <is>
          <t>作成日</t>
        </is>
      </c>
      <c r="L35" s="147" t="inlineStr">
        <is>
          <t>2008/07/25</t>
        </is>
      </c>
    </row>
    <row r="36" ht="21.95" customHeight="1" s="76">
      <c r="A36" s="148" t="inlineStr">
        <is>
          <t>システムコ-ド</t>
        </is>
      </c>
      <c r="B36" s="149" t="n"/>
      <c r="C36" s="150" t="inlineStr">
        <is>
          <t>R20</t>
        </is>
      </c>
      <c r="D36" s="151" t="inlineStr">
        <is>
          <t>システム名</t>
        </is>
      </c>
      <c r="E36" s="152" t="inlineStr">
        <is>
          <t>KAPS2</t>
        </is>
      </c>
      <c r="F36" s="153" t="n"/>
      <c r="G36" s="149" t="n"/>
      <c r="H36" s="154" t="inlineStr">
        <is>
          <t>更新者</t>
        </is>
      </c>
      <c r="I36" s="155" t="n"/>
      <c r="J36" s="149" t="n"/>
      <c r="K36" s="154" t="inlineStr">
        <is>
          <t>更新日</t>
        </is>
      </c>
      <c r="L36" s="156" t="n"/>
    </row>
    <row r="37" ht="21.95" customHeight="1" s="76">
      <c r="A37" s="157" t="inlineStr">
        <is>
          <t>起案№</t>
        </is>
      </c>
      <c r="B37" s="158" t="n"/>
      <c r="C37" s="159" t="inlineStr">
        <is>
          <t>R200-001-1</t>
        </is>
      </c>
      <c r="D37" s="160" t="inlineStr">
        <is>
          <t>起案名</t>
        </is>
      </c>
      <c r="E37" s="161" t="inlineStr">
        <is>
          <t>部品業務ｼｽﾃﾑ再構築</t>
        </is>
      </c>
      <c r="F37" s="162" t="n"/>
      <c r="G37" s="158" t="n"/>
      <c r="H37" s="163" t="inlineStr">
        <is>
          <t>更新者</t>
        </is>
      </c>
      <c r="I37" s="164" t="n"/>
      <c r="J37" s="158" t="n"/>
      <c r="K37" s="163" t="inlineStr">
        <is>
          <t>更新日</t>
        </is>
      </c>
      <c r="L37" s="165" t="n"/>
    </row>
    <row r="38" ht="39.95" customHeight="1" s="76">
      <c r="A38" s="77" t="inlineStr">
        <is>
          <t>レコード仕様書</t>
        </is>
      </c>
    </row>
    <row r="39" ht="23.25" customHeight="1" s="76">
      <c r="A39" s="78" t="inlineStr">
        <is>
          <t>№</t>
        </is>
      </c>
      <c r="B39" s="79" t="inlineStr">
        <is>
          <t>LVL</t>
        </is>
      </c>
      <c r="C39" s="79" t="inlineStr">
        <is>
          <t>項目名</t>
        </is>
      </c>
      <c r="D39" s="80" t="inlineStr">
        <is>
          <t>項目コード</t>
        </is>
      </c>
      <c r="E39" s="79" t="inlineStr">
        <is>
          <t>Type</t>
        </is>
      </c>
      <c r="F39" s="81" t="inlineStr">
        <is>
          <t>Leng　　(整数)</t>
        </is>
      </c>
      <c r="G39" s="82" t="inlineStr">
        <is>
          <t>Leng　　(小数)</t>
        </is>
      </c>
      <c r="H39" s="79" t="inlineStr">
        <is>
          <t>上限</t>
        </is>
      </c>
      <c r="I39" s="83" t="inlineStr">
        <is>
          <t>Byte</t>
        </is>
      </c>
      <c r="J39" s="79" t="inlineStr">
        <is>
          <t>ｱﾚ-</t>
        </is>
      </c>
      <c r="K39" s="84" t="inlineStr">
        <is>
          <t>備考</t>
        </is>
      </c>
      <c r="L39" s="85" t="n"/>
    </row>
    <row r="40" ht="23.25" customHeight="1" s="76">
      <c r="A40" s="87" t="n">
        <v>30</v>
      </c>
      <c r="B40" s="88" t="inlineStr">
        <is>
          <t>03</t>
        </is>
      </c>
      <c r="C40" s="89" t="inlineStr">
        <is>
          <t>シグナル回数</t>
        </is>
      </c>
      <c r="D40" s="90" t="inlineStr">
        <is>
          <t>SSGCTR</t>
        </is>
      </c>
      <c r="E40" s="91" t="inlineStr">
        <is>
          <t>C</t>
        </is>
      </c>
      <c r="F40" s="92" t="n">
        <v>7</v>
      </c>
      <c r="G40" s="93" t="n"/>
      <c r="H40" s="94" t="n">
        <v>124</v>
      </c>
      <c r="I40" s="92" t="n">
        <v>7</v>
      </c>
      <c r="J40" s="95" t="n"/>
      <c r="K40" s="96" t="n"/>
      <c r="L40" s="97" t="n"/>
    </row>
    <row r="41" ht="23.25" customHeight="1" s="76">
      <c r="A41" s="99" t="n">
        <v>31</v>
      </c>
      <c r="B41" s="100" t="inlineStr">
        <is>
          <t>03</t>
        </is>
      </c>
      <c r="C41" s="89" t="inlineStr">
        <is>
          <t>余白</t>
        </is>
      </c>
      <c r="D41" s="101" t="inlineStr">
        <is>
          <t>FILLER</t>
        </is>
      </c>
      <c r="E41" s="91" t="inlineStr">
        <is>
          <t>C</t>
        </is>
      </c>
      <c r="F41" s="102" t="n">
        <v>20</v>
      </c>
      <c r="G41" s="103" t="n"/>
      <c r="H41" s="104">
        <f>SUM(H40,I40)</f>
        <v/>
      </c>
      <c r="I41" s="102" t="n">
        <v>20</v>
      </c>
      <c r="J41" s="104" t="n"/>
      <c r="K41" s="105" t="n"/>
      <c r="L41" s="106" t="n"/>
    </row>
    <row r="42" ht="23.25" customHeight="1" s="76">
      <c r="A42" s="87" t="n"/>
      <c r="B42" s="100" t="n"/>
      <c r="C42" s="89" t="n"/>
      <c r="D42" s="101" t="n"/>
      <c r="E42" s="100" t="n"/>
      <c r="F42" s="102" t="n"/>
      <c r="G42" s="103" t="n"/>
      <c r="H42" s="104" t="n"/>
      <c r="I42" s="102" t="n"/>
      <c r="J42" s="104" t="n"/>
      <c r="K42" s="105" t="n"/>
      <c r="L42" s="106" t="n"/>
    </row>
    <row r="43" ht="23.25" customHeight="1" s="76">
      <c r="A43" s="99" t="n"/>
      <c r="B43" s="100" t="n"/>
      <c r="C43" s="89" t="n"/>
      <c r="D43" s="101" t="n"/>
      <c r="E43" s="100" t="n"/>
      <c r="F43" s="102" t="n"/>
      <c r="G43" s="103" t="n"/>
      <c r="H43" s="104" t="n"/>
      <c r="I43" s="102" t="n"/>
      <c r="J43" s="104" t="n"/>
      <c r="K43" s="105" t="n"/>
      <c r="L43" s="106" t="n"/>
    </row>
    <row r="44" ht="23.25" customHeight="1" s="76">
      <c r="A44" s="87" t="n"/>
      <c r="B44" s="100" t="n"/>
      <c r="C44" s="89" t="n"/>
      <c r="D44" s="101" t="n"/>
      <c r="E44" s="100" t="n"/>
      <c r="F44" s="102" t="n"/>
      <c r="G44" s="103" t="n"/>
      <c r="H44" s="104" t="n"/>
      <c r="I44" s="102" t="n"/>
      <c r="J44" s="104" t="n"/>
      <c r="K44" s="105" t="n"/>
      <c r="L44" s="106" t="n"/>
    </row>
    <row r="45" ht="23.25" customHeight="1" s="76">
      <c r="A45" s="99" t="n"/>
      <c r="B45" s="100" t="n"/>
      <c r="C45" s="89" t="n"/>
      <c r="D45" s="101" t="n"/>
      <c r="E45" s="100" t="n"/>
      <c r="F45" s="102" t="n"/>
      <c r="G45" s="103" t="n"/>
      <c r="H45" s="104" t="n"/>
      <c r="I45" s="102" t="n"/>
      <c r="J45" s="104" t="n"/>
      <c r="K45" s="105" t="n"/>
      <c r="L45" s="106" t="n"/>
    </row>
    <row r="46" ht="23.25" customHeight="1" s="76">
      <c r="A46" s="87" t="n"/>
      <c r="B46" s="100" t="n"/>
      <c r="C46" s="89" t="n"/>
      <c r="D46" s="101" t="n"/>
      <c r="E46" s="100" t="n"/>
      <c r="F46" s="102" t="n"/>
      <c r="G46" s="103" t="n"/>
      <c r="H46" s="104" t="n"/>
      <c r="I46" s="102" t="n"/>
      <c r="J46" s="104" t="n"/>
      <c r="K46" s="105" t="n"/>
      <c r="L46" s="106" t="n"/>
    </row>
    <row r="47" ht="23.25" customHeight="1" s="76">
      <c r="A47" s="99" t="n"/>
      <c r="B47" s="100" t="n"/>
      <c r="C47" s="89" t="n"/>
      <c r="D47" s="101" t="n"/>
      <c r="E47" s="100" t="n"/>
      <c r="F47" s="102" t="n"/>
      <c r="G47" s="103" t="n"/>
      <c r="H47" s="104" t="n"/>
      <c r="I47" s="102" t="n"/>
      <c r="J47" s="104" t="n"/>
      <c r="K47" s="105" t="n"/>
      <c r="L47" s="106" t="n"/>
    </row>
    <row r="48" ht="23.25" customHeight="1" s="76">
      <c r="A48" s="87" t="n"/>
      <c r="B48" s="100" t="n"/>
      <c r="C48" s="89" t="n"/>
      <c r="D48" s="101" t="n"/>
      <c r="E48" s="100" t="n"/>
      <c r="F48" s="102" t="n"/>
      <c r="G48" s="103" t="n"/>
      <c r="H48" s="104" t="n"/>
      <c r="I48" s="102" t="n"/>
      <c r="J48" s="104" t="n"/>
      <c r="K48" s="111" t="n"/>
      <c r="L48" s="106" t="n"/>
    </row>
    <row r="49" ht="23.25" customHeight="1" s="76">
      <c r="A49" s="99" t="n"/>
      <c r="B49" s="100" t="n"/>
      <c r="C49" s="89" t="n"/>
      <c r="D49" s="101" t="n"/>
      <c r="E49" s="100" t="n"/>
      <c r="F49" s="102" t="n"/>
      <c r="G49" s="103" t="n"/>
      <c r="H49" s="104" t="n"/>
      <c r="I49" s="102" t="n"/>
      <c r="J49" s="104" t="n"/>
      <c r="K49" s="111" t="n"/>
      <c r="L49" s="106" t="n"/>
    </row>
    <row r="50" ht="23.25" customHeight="1" s="76">
      <c r="A50" s="87" t="n"/>
      <c r="B50" s="100" t="n"/>
      <c r="C50" s="89" t="n"/>
      <c r="D50" s="101" t="n"/>
      <c r="E50" s="100" t="n"/>
      <c r="F50" s="102" t="n"/>
      <c r="G50" s="103" t="n"/>
      <c r="H50" s="104" t="n"/>
      <c r="I50" s="102" t="n"/>
      <c r="J50" s="104" t="n"/>
      <c r="K50" s="105" t="n"/>
      <c r="L50" s="106" t="n"/>
    </row>
    <row r="51" ht="23.25" customHeight="1" s="76">
      <c r="A51" s="99" t="n"/>
      <c r="B51" s="100" t="n"/>
      <c r="C51" s="89" t="n"/>
      <c r="D51" s="101" t="n"/>
      <c r="E51" s="100" t="n"/>
      <c r="F51" s="102" t="n"/>
      <c r="G51" s="103" t="n"/>
      <c r="H51" s="104" t="n"/>
      <c r="I51" s="102" t="n"/>
      <c r="J51" s="104" t="n"/>
      <c r="K51" s="111" t="n"/>
      <c r="L51" s="106" t="n"/>
    </row>
    <row r="52" ht="23.25" customHeight="1" s="76">
      <c r="A52" s="87" t="n"/>
      <c r="B52" s="100" t="n"/>
      <c r="C52" s="89" t="n"/>
      <c r="D52" s="101" t="n"/>
      <c r="E52" s="100" t="n"/>
      <c r="F52" s="102" t="n"/>
      <c r="G52" s="103" t="n"/>
      <c r="H52" s="104" t="n"/>
      <c r="I52" s="102" t="n"/>
      <c r="J52" s="104" t="n"/>
      <c r="K52" s="111" t="n"/>
      <c r="L52" s="106" t="n"/>
    </row>
    <row r="53" ht="23.25" customHeight="1" s="76">
      <c r="A53" s="99" t="n"/>
      <c r="B53" s="100" t="n"/>
      <c r="C53" s="89" t="n"/>
      <c r="D53" s="101" t="n"/>
      <c r="E53" s="100" t="n"/>
      <c r="F53" s="102" t="n"/>
      <c r="G53" s="103" t="n"/>
      <c r="H53" s="104" t="n"/>
      <c r="I53" s="102" t="n"/>
      <c r="J53" s="104" t="n"/>
      <c r="K53" s="111" t="n"/>
      <c r="L53" s="106" t="n"/>
    </row>
    <row r="54" ht="23.25" customHeight="1" s="76">
      <c r="A54" s="87" t="n"/>
      <c r="B54" s="100" t="n"/>
      <c r="C54" s="89" t="n"/>
      <c r="D54" s="101" t="n"/>
      <c r="E54" s="100" t="n"/>
      <c r="F54" s="102" t="n"/>
      <c r="G54" s="103" t="n"/>
      <c r="H54" s="104" t="n"/>
      <c r="I54" s="102" t="n"/>
      <c r="J54" s="104" t="n"/>
      <c r="K54" s="111" t="n"/>
      <c r="L54" s="106" t="n"/>
    </row>
    <row r="55" ht="23.25" customHeight="1" s="76">
      <c r="A55" s="99" t="n"/>
      <c r="B55" s="100" t="n"/>
      <c r="C55" s="89" t="n"/>
      <c r="D55" s="101" t="n"/>
      <c r="E55" s="100" t="n"/>
      <c r="F55" s="102" t="n"/>
      <c r="G55" s="103" t="n"/>
      <c r="H55" s="104" t="n"/>
      <c r="I55" s="102" t="n"/>
      <c r="J55" s="104" t="n"/>
      <c r="K55" s="111" t="n"/>
      <c r="L55" s="106" t="n"/>
    </row>
    <row r="56" ht="23.25" customHeight="1" s="76">
      <c r="A56" s="87" t="n"/>
      <c r="B56" s="100" t="n"/>
      <c r="C56" s="89" t="n"/>
      <c r="D56" s="101" t="n"/>
      <c r="E56" s="100" t="n"/>
      <c r="F56" s="102" t="n"/>
      <c r="G56" s="103" t="n"/>
      <c r="H56" s="104" t="n"/>
      <c r="I56" s="102" t="n"/>
      <c r="J56" s="104" t="n"/>
      <c r="K56" s="111" t="n"/>
      <c r="L56" s="106" t="n"/>
    </row>
    <row r="57" ht="23.25" customHeight="1" s="76">
      <c r="A57" s="99" t="n"/>
      <c r="B57" s="100" t="n"/>
      <c r="C57" s="89" t="n"/>
      <c r="D57" s="101" t="n"/>
      <c r="E57" s="100" t="n"/>
      <c r="F57" s="102" t="n"/>
      <c r="G57" s="103" t="n"/>
      <c r="H57" s="104" t="n"/>
      <c r="I57" s="102" t="n"/>
      <c r="J57" s="104" t="n"/>
      <c r="K57" s="111" t="n"/>
      <c r="L57" s="106" t="n"/>
    </row>
    <row r="58" ht="23.25" customHeight="1" s="76">
      <c r="A58" s="87" t="n"/>
      <c r="B58" s="100" t="n"/>
      <c r="C58" s="89" t="n"/>
      <c r="D58" s="101" t="n"/>
      <c r="E58" s="100" t="n"/>
      <c r="F58" s="102" t="n"/>
      <c r="G58" s="103" t="n"/>
      <c r="H58" s="104" t="n"/>
      <c r="I58" s="102" t="n"/>
      <c r="J58" s="104" t="n"/>
      <c r="K58" s="111" t="n"/>
      <c r="L58" s="106" t="n"/>
    </row>
    <row r="59" ht="23.25" customHeight="1" s="76">
      <c r="A59" s="99" t="n"/>
      <c r="B59" s="100" t="n"/>
      <c r="C59" s="89" t="n"/>
      <c r="D59" s="101" t="n"/>
      <c r="E59" s="100" t="n"/>
      <c r="F59" s="102" t="n"/>
      <c r="G59" s="103" t="n"/>
      <c r="H59" s="104" t="n"/>
      <c r="I59" s="102" t="n"/>
      <c r="J59" s="104" t="n"/>
      <c r="K59" s="111" t="n"/>
      <c r="L59" s="106" t="n"/>
    </row>
    <row r="60" ht="23.25" customHeight="1" s="76">
      <c r="A60" s="87" t="n"/>
      <c r="B60" s="100" t="n"/>
      <c r="C60" s="89" t="n"/>
      <c r="D60" s="101" t="n"/>
      <c r="E60" s="100" t="n"/>
      <c r="F60" s="102" t="n"/>
      <c r="G60" s="103" t="n"/>
      <c r="H60" s="104" t="n"/>
      <c r="I60" s="102" t="n"/>
      <c r="J60" s="104" t="n"/>
      <c r="K60" s="111" t="n"/>
      <c r="L60" s="106" t="n"/>
    </row>
    <row r="61" ht="23.25" customHeight="1" s="76">
      <c r="A61" s="99" t="n"/>
      <c r="B61" s="100" t="n"/>
      <c r="C61" s="89" t="n"/>
      <c r="D61" s="101" t="n"/>
      <c r="E61" s="100" t="n"/>
      <c r="F61" s="102" t="n"/>
      <c r="G61" s="103" t="n"/>
      <c r="H61" s="104" t="n"/>
      <c r="I61" s="102" t="n"/>
      <c r="J61" s="104" t="n"/>
      <c r="K61" s="105" t="n"/>
      <c r="L61" s="106" t="n"/>
    </row>
    <row r="62" ht="23.25" customHeight="1" s="76">
      <c r="A62" s="99" t="n"/>
      <c r="B62" s="100" t="n"/>
      <c r="C62" s="89" t="n"/>
      <c r="D62" s="101" t="n"/>
      <c r="E62" s="100" t="n"/>
      <c r="F62" s="102" t="n"/>
      <c r="G62" s="103" t="n"/>
      <c r="H62" s="104" t="n"/>
      <c r="I62" s="102" t="n"/>
      <c r="J62" s="104" t="n"/>
      <c r="K62" s="105" t="n"/>
      <c r="L62" s="106" t="n"/>
    </row>
    <row r="63" ht="23.25" customHeight="1" s="76">
      <c r="A63" s="99" t="n"/>
      <c r="B63" s="100" t="n"/>
      <c r="C63" s="89" t="n"/>
      <c r="D63" s="101" t="n"/>
      <c r="E63" s="100" t="n"/>
      <c r="F63" s="102" t="n"/>
      <c r="G63" s="103" t="n"/>
      <c r="H63" s="121" t="n"/>
      <c r="I63" s="102" t="n"/>
      <c r="J63" s="104" t="n"/>
      <c r="K63" s="105" t="n"/>
      <c r="L63" s="106" t="n"/>
    </row>
    <row r="64" ht="23.25" customHeight="1" s="76">
      <c r="A64" s="99" t="n"/>
      <c r="B64" s="100" t="n"/>
      <c r="C64" s="89" t="n"/>
      <c r="D64" s="101" t="n"/>
      <c r="E64" s="100" t="n"/>
      <c r="F64" s="102" t="n"/>
      <c r="G64" s="103" t="n"/>
      <c r="H64" s="121" t="n"/>
      <c r="I64" s="102" t="n"/>
      <c r="J64" s="104" t="n"/>
      <c r="K64" s="105" t="n"/>
      <c r="L64" s="106" t="n"/>
    </row>
    <row r="65" ht="23.25" customHeight="1" s="76">
      <c r="A65" s="99" t="n"/>
      <c r="B65" s="100" t="n"/>
      <c r="C65" s="89" t="n"/>
      <c r="D65" s="101" t="n"/>
      <c r="E65" s="100" t="n"/>
      <c r="F65" s="102" t="n"/>
      <c r="G65" s="103" t="n"/>
      <c r="H65" s="121" t="n"/>
      <c r="I65" s="102" t="n"/>
      <c r="J65" s="104" t="n"/>
      <c r="K65" s="105" t="n"/>
      <c r="L65" s="106" t="n"/>
    </row>
    <row r="66" ht="23.25" customHeight="1" s="76">
      <c r="A66" s="99" t="n"/>
      <c r="B66" s="100" t="n"/>
      <c r="C66" s="89" t="n"/>
      <c r="D66" s="101" t="n"/>
      <c r="E66" s="100" t="n"/>
      <c r="F66" s="102" t="n"/>
      <c r="G66" s="103" t="n"/>
      <c r="H66" s="121" t="n"/>
      <c r="I66" s="102" t="n"/>
      <c r="J66" s="104" t="n"/>
      <c r="K66" s="101" t="n"/>
      <c r="L66" s="105" t="n"/>
    </row>
    <row r="67" ht="23.25" customHeight="1" s="76">
      <c r="A67" s="99" t="n"/>
      <c r="B67" s="100" t="n"/>
      <c r="C67" s="89" t="n"/>
      <c r="D67" s="101" t="n"/>
      <c r="E67" s="100" t="n"/>
      <c r="F67" s="102" t="n"/>
      <c r="G67" s="103" t="n"/>
      <c r="H67" s="121" t="n"/>
      <c r="I67" s="122" t="n"/>
      <c r="J67" s="104" t="n"/>
      <c r="K67" s="105" t="n"/>
      <c r="L67" s="106" t="n"/>
    </row>
    <row r="68" ht="23.25" customHeight="1" s="76">
      <c r="A68" s="166" t="n"/>
      <c r="B68" s="118" t="n"/>
      <c r="C68" s="167" t="n"/>
      <c r="D68" s="117" t="n"/>
      <c r="E68" s="118" t="n"/>
      <c r="F68" s="119" t="n"/>
      <c r="G68" s="120" t="n"/>
      <c r="H68" s="121" t="n"/>
      <c r="I68" s="122" t="n"/>
      <c r="J68" s="123" t="n"/>
      <c r="K68" s="124" t="n"/>
      <c r="L68" s="125" t="n"/>
    </row>
    <row r="69" ht="23.25" customHeight="1" s="76">
      <c r="A69" s="126" t="n"/>
      <c r="B69" s="126" t="n"/>
      <c r="C69" s="126" t="n"/>
      <c r="D69" s="126" t="n"/>
      <c r="E69" s="127" t="n"/>
      <c r="F69" s="127" t="n"/>
      <c r="G69" s="128" t="n"/>
      <c r="H69" s="129" t="inlineStr">
        <is>
          <t>総Byte</t>
        </is>
      </c>
      <c r="I69" s="130">
        <f>SUM(I40:I68)+I33</f>
        <v/>
      </c>
      <c r="J69" s="131" t="inlineStr">
        <is>
          <t>PAGE</t>
        </is>
      </c>
      <c r="K69" s="132" t="n">
        <v>2</v>
      </c>
      <c r="L69" s="133" t="inlineStr">
        <is>
          <t>/　E</t>
        </is>
      </c>
    </row>
    <row r="70" ht="23.25" customHeight="1" s="76">
      <c r="A70" s="134" t="inlineStr">
        <is>
          <t>FORM-ID</t>
        </is>
      </c>
      <c r="B70" s="135" t="n"/>
      <c r="C70" s="136" t="n"/>
      <c r="D70" s="137" t="n"/>
      <c r="E70" s="137" t="n"/>
      <c r="F70" s="137" t="n"/>
      <c r="G70" s="137" t="n"/>
      <c r="H70" s="137" t="n"/>
      <c r="I70" s="137" t="n"/>
      <c r="J70" s="137" t="n"/>
      <c r="K70" s="137" t="n"/>
      <c r="L70" s="138" t="n"/>
    </row>
    <row r="71" ht="23.25" customHeight="1" s="76">
      <c r="A71" s="139" t="inlineStr">
        <is>
          <t>レイアウトコ-ド</t>
        </is>
      </c>
      <c r="B71" s="140" t="n"/>
      <c r="C71" s="141" t="inlineStr">
        <is>
          <t>RZ019</t>
        </is>
      </c>
      <c r="D71" s="142" t="inlineStr">
        <is>
          <t>レイアウト名</t>
        </is>
      </c>
      <c r="E71" s="143" t="inlineStr">
        <is>
          <t>塗装包装中在庫データ</t>
        </is>
      </c>
      <c r="F71" s="144" t="n"/>
      <c r="G71" s="140" t="n"/>
      <c r="H71" s="145" t="inlineStr">
        <is>
          <t>作成者</t>
        </is>
      </c>
      <c r="I71" s="146" t="inlineStr">
        <is>
          <t>安部</t>
        </is>
      </c>
      <c r="J71" s="140" t="n"/>
      <c r="K71" s="145" t="inlineStr">
        <is>
          <t>作成日</t>
        </is>
      </c>
      <c r="L71" s="147" t="inlineStr">
        <is>
          <t>2008/07/25</t>
        </is>
      </c>
    </row>
    <row r="72" ht="23.25" customHeight="1" s="76">
      <c r="A72" s="148" t="inlineStr">
        <is>
          <t>システムコ-ド</t>
        </is>
      </c>
      <c r="B72" s="149" t="n"/>
      <c r="C72" s="150" t="inlineStr">
        <is>
          <t>R20</t>
        </is>
      </c>
      <c r="D72" s="151" t="inlineStr">
        <is>
          <t>システム名</t>
        </is>
      </c>
      <c r="E72" s="152" t="inlineStr">
        <is>
          <t>KAPS2</t>
        </is>
      </c>
      <c r="F72" s="153" t="n"/>
      <c r="G72" s="149" t="n"/>
      <c r="H72" s="154" t="inlineStr">
        <is>
          <t>更新者</t>
        </is>
      </c>
      <c r="I72" s="155" t="n"/>
      <c r="J72" s="149" t="n"/>
      <c r="K72" s="154" t="inlineStr">
        <is>
          <t>更新日</t>
        </is>
      </c>
      <c r="L72" s="156" t="n"/>
    </row>
    <row r="73" ht="23.25" customHeight="1" s="76">
      <c r="A73" s="157" t="inlineStr">
        <is>
          <t>起案№</t>
        </is>
      </c>
      <c r="B73" s="158" t="n"/>
      <c r="C73" s="159" t="inlineStr">
        <is>
          <t>R200-001-1</t>
        </is>
      </c>
      <c r="D73" s="160" t="inlineStr">
        <is>
          <t>起案名</t>
        </is>
      </c>
      <c r="E73" s="161" t="inlineStr">
        <is>
          <t>部品業務ｼｽﾃﾑ再構築</t>
        </is>
      </c>
      <c r="F73" s="162" t="n"/>
      <c r="G73" s="158" t="n"/>
      <c r="H73" s="163" t="inlineStr">
        <is>
          <t>更新者</t>
        </is>
      </c>
      <c r="I73" s="164" t="n"/>
      <c r="J73" s="158" t="n"/>
      <c r="K73" s="163" t="inlineStr">
        <is>
          <t>更新日</t>
        </is>
      </c>
      <c r="L73" s="165" t="n"/>
    </row>
  </sheetData>
  <mergeCells count="84">
    <mergeCell ref="K49:L49"/>
    <mergeCell ref="A73:B73"/>
    <mergeCell ref="K24:L24"/>
    <mergeCell ref="A70:B70"/>
    <mergeCell ref="K4:L4"/>
    <mergeCell ref="K26:L26"/>
    <mergeCell ref="K50:L50"/>
    <mergeCell ref="C34:L34"/>
    <mergeCell ref="I71:J71"/>
    <mergeCell ref="K58:L58"/>
    <mergeCell ref="K52:L52"/>
    <mergeCell ref="K67:L67"/>
    <mergeCell ref="K2:L2"/>
    <mergeCell ref="K42:L42"/>
    <mergeCell ref="A35:B35"/>
    <mergeCell ref="K53:L53"/>
    <mergeCell ref="K28:L28"/>
    <mergeCell ref="E35:G35"/>
    <mergeCell ref="K13:L13"/>
    <mergeCell ref="K30:L30"/>
    <mergeCell ref="C70:L70"/>
    <mergeCell ref="K15:L15"/>
    <mergeCell ref="K55:L55"/>
    <mergeCell ref="K64:L64"/>
    <mergeCell ref="K21:L21"/>
    <mergeCell ref="K51:L51"/>
    <mergeCell ref="I72:J72"/>
    <mergeCell ref="K32:L32"/>
    <mergeCell ref="K63:L63"/>
    <mergeCell ref="A37:B37"/>
    <mergeCell ref="K41:L41"/>
    <mergeCell ref="K56:L56"/>
    <mergeCell ref="A38:L38"/>
    <mergeCell ref="E72:G72"/>
    <mergeCell ref="K43:L43"/>
    <mergeCell ref="A71:B71"/>
    <mergeCell ref="K27:L27"/>
    <mergeCell ref="K17:L17"/>
    <mergeCell ref="E71:G71"/>
    <mergeCell ref="I35:J35"/>
    <mergeCell ref="K10:L10"/>
    <mergeCell ref="K19:L19"/>
    <mergeCell ref="E73:G73"/>
    <mergeCell ref="K6:L6"/>
    <mergeCell ref="K3:L3"/>
    <mergeCell ref="A34:B34"/>
    <mergeCell ref="K16:L16"/>
    <mergeCell ref="K68:L68"/>
    <mergeCell ref="K25:L25"/>
    <mergeCell ref="K9:L9"/>
    <mergeCell ref="K5:L5"/>
    <mergeCell ref="A36:B36"/>
    <mergeCell ref="K45:L45"/>
    <mergeCell ref="K54:L54"/>
    <mergeCell ref="K60:L60"/>
    <mergeCell ref="K29:L29"/>
    <mergeCell ref="K11:L11"/>
    <mergeCell ref="E36:G36"/>
    <mergeCell ref="K47:L47"/>
    <mergeCell ref="K44:L44"/>
    <mergeCell ref="I37:J37"/>
    <mergeCell ref="K31:L31"/>
    <mergeCell ref="K46:L46"/>
    <mergeCell ref="K40:L40"/>
    <mergeCell ref="K8:L8"/>
    <mergeCell ref="E37:G37"/>
    <mergeCell ref="K23:L23"/>
    <mergeCell ref="K7:L7"/>
    <mergeCell ref="I73:J73"/>
    <mergeCell ref="K65:L65"/>
    <mergeCell ref="K57:L57"/>
    <mergeCell ref="K18:L18"/>
    <mergeCell ref="I36:J36"/>
    <mergeCell ref="K20:L20"/>
    <mergeCell ref="K22:L22"/>
    <mergeCell ref="K59:L59"/>
    <mergeCell ref="K12:L12"/>
    <mergeCell ref="K61:L61"/>
    <mergeCell ref="K39:L39"/>
    <mergeCell ref="K14:L14"/>
    <mergeCell ref="K48:L48"/>
    <mergeCell ref="A72:B72"/>
    <mergeCell ref="A1:L1"/>
    <mergeCell ref="K62:L62"/>
  </mergeCells>
  <printOptions horizontalCentered="0" verticalCentered="0" headings="0" gridLines="0" gridLinesSet="1"/>
  <pageMargins left="0.590277777777778" right="0.196527777777778" top="0.39375" bottom="0.39375" header="0.39375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&amp;RCBL-040-510/002/200505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情報開発センター</dc:creator>
  <dc:language>en-US</dc:language>
  <dcterms:created xsi:type="dcterms:W3CDTF">2002-09-05T15:43:58Z</dcterms:created>
  <dcterms:modified xsi:type="dcterms:W3CDTF">2026-04-27T07:01:25Z</dcterms:modified>
  <cp:lastModifiedBy>ksi</cp:lastModifiedBy>
  <cp:revision>0</cp:revision>
  <cp:lastPrinted>2008-09-01T10:59:55Z</cp:lastPrinted>
</cp:coreProperties>
</file>