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5BD2CF75-494D-4663-9FE2-177C5AC2177F}"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項目マッピング!$A$7:$P$42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項目マッピング!$A$1:$P$51</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<sst xmlns="http://schemas.openxmlformats.org/spreadsheetml/2006/main" count="3779" uniqueCount="700">
  <si>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</si>
  <si>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</si>
  <si>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</si>
  <si>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</si>
  <si>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</si>
  <si>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</si>
  <si>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</si>
  <si>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</si>
  <si>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</si>
  <si>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</si>
  <si>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</si>
  <si>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</si>
  <si>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</si>
  <si>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</si>
  <si>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</si>
  <si>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</si>
  <si>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</si>
  <si>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</si>
  <si>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</si>
  <si>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</si>
  <si>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</si>
  <si>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</si>
  <si>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</si>
  <si>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</si>
  <si>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</si>
  <si>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</si>
  <si>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</si>
  <si>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</si>
  <si>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</si>
  <si>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</si>
  <si>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</si>
  <si>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</si>
  <si>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</si>
  <si>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</si>
  <si>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</si>
  <si>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</si>
  <si>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</si>
  <si>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</si>
  <si>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</si>
  <si>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</si>
  <si>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</si>
  <si>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</si>
  <si>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</si>
  <si>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</si>
  <si>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</si>
  <si>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</si>
  <si>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</si>
  <si>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</si>
  <si>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</si>
  <si>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</si>
  <si>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</si>
  <si>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</si>
  <si>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</si>
  <si>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</si>
  <si>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</si>
  <si>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</si>
  <si>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</si>
  <si>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</si>
  <si>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</si>
  <si>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</si>
  <si>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</si>
  <si>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</si>
  <si>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</si>
  <si>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</si>
  <si>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</si>
  <si>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</si>
  <si>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</si>
  <si>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</si>
  <si>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</si>
  <si>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</si>
  <si>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</si>
  <si>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</si>
  <si>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</si>
  <si>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</si>
  <si>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</si>
  <si>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</si>
  <si>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</si>
  <si>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</si>
  <si>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</si>
  <si>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</si>
  <si>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</si>
  <si>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</si>
  <si>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</si>
  <si>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</si>
  <si>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</si>
  <si>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</si>
  <si>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</si>
  <si>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</si>
  <si>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</si>
  <si>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</si>
  <si>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</si>
  <si>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</si>
  <si>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</si>
  <si>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</si>
  <si>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</si>
  <si>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</si>
  <si>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</si>
  <si>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</si>
  <si>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</si>
  <si>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</si>
  <si>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</si>
  <si>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</si>
  <si>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</si>
  <si>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</si>
  <si>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</si>
  <si>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</si>
  <si>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</si>
  <si>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</si>
  <si>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</si>
  <si>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</si>
  <si>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</si>
  <si>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</si>
  <si>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</si>
  <si>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</si>
  <si>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</si>
  <si>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</si>
  <si>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</si>
  <si>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</si>
  <si>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</si>
  <si>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</si>
  <si>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</si>
  <si>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</si>
  <si>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</si>
  <si>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</si>
  <si>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</si>
  <si>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</si>
  <si>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</si>
  <si>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</si>
  <si>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</si>
  <si>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</si>
  <si>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</si>
  <si>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</si>
  <si>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</si>
  <si>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</si>
  <si>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</si>
  <si>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</si>
  <si>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</si>
  <si>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</si>
  <si>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</si>
  <si>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</si>
  <si>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</si>
  <si>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</si>
  <si>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</si>
  <si>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</si>
  <si>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</si>
  <si>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</si>
  <si>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</si>
  <si>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</si>
  <si>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</si>
  <si>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</si>
  <si>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</si>
  <si>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</si>
  <si>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</si>
  <si>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</si>
  <si>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</si>
  <si>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</si>
  <si>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</si>
  <si>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</si>
  <si>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</si>
  <si>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</si>
  <si>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</si>
  <si>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</si>
  <si>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</si>
  <si>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</si>
  <si>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</si>
  <si>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</si>
  <si>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</si>
  <si>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</si>
  <si>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</si>
  <si>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</si>
  <si>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</si>
  <si>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</si>
  <si>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</si>
  <si>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</si>
  <si>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</si>
  <si>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</si>
  <si>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</si>
  <si>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</si>
  <si>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</si>
  <si>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</si>
  <si>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</si>
  <si>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</si>
  <si>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</si>
  <si>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</si>
  <si>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</si>
  <si>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</si>
  <si>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</si>
  <si>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</si>
  <si>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</si>
  <si>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</si>
  <si>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</si>
  <si>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</si>
  <si>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</si>
  <si>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</si>
  <si>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</si>
  <si>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</si>
  <si>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</si>
  <si>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</si>
  <si>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</si>
  <si>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</si>
  <si>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</si>
  <si>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</si>
  <si>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</si>
  <si>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</si>
  <si>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</si>
  <si>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</si>
  <si>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</si>
  <si>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</si>
  <si>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</si>
  <si>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</si>
  <si>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</si>
  <si>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</si>
  <si>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</si>
  <si>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</si>
  <si>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</si>
  <si>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</si>
  <si>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</si>
  <si>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</si>
  <si>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</si>
  <si>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</si>
  <si>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</si>
  <si>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</si>
  <si>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</si>
  <si>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</si>
  <si>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</si>
  <si>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</si>
  <si>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</si>
  <si>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</si>
  <si>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</si>
  <si>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</si>
  <si>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</si>
  <si>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</si>
  <si>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</si>
  <si>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</si>
  <si>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</si>
  <si>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</si>
  <si>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</si>
  <si>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</si>
  <si>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</si>
  <si>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</si>
  <si>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</si>
  <si>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</si>
  <si>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</si>
  <si>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</si>
  <si>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</si>
  <si>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</si>
  <si>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</si>
  <si>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</si>
  <si>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</si>
  <si>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</si>
  <si>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</si>
  <si>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</si>
  <si>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</si>
  <si>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</si>
  <si>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</si>
  <si>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</si>
  <si>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</si>
  <si>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</si>
  <si>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</si>
  <si>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</si>
  <si>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</si>
  <si>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</si>
  <si>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</si>
  <si>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</si>
  <si>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</si>
  <si>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</si>
  <si>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</si>
  <si>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</si>
  <si>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</si>
  <si>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</si>
  <si>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</si>
  <si>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</si>
  <si>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</si>
  <si>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</si>
  <si>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</si>
  <si>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</si>
  <si>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</si>
  <si>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</si>
  <si>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</si>
  <si>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</si>
  <si>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</si>
  <si>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</si>
  <si>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</si>
  <si>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</si>
  <si>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</si>
  <si>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</si>
  <si>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</si>
  <si>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</si>
  <si>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</si>
  <si>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</si>
  <si>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</si>
  <si>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</si>
  <si>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</si>
  <si>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</si>
  <si>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</si>
  <si>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</si>
  <si>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</si>
  <si>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</si>
  <si>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</si>
  <si>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</si>
  <si>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</si>
  <si>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</si>
  <si>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</si>
  <si>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</si>
  <si>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</si>
  <si>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</si>
  <si>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</si>
  <si>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</si>
  <si>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</si>
  <si>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</si>
  <si>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</si>
  <si>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</si>
  <si>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</si>
  <si>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</si>
  <si>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</si>
  <si>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</si>
  <si>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</si>
  <si>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</si>
  <si>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</si>
  <si>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</si>
  <si>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</si>
  <si>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</si>
  <si>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</si>
  <si>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</si>
  <si>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</si>
  <si>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</si>
  <si>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</si>
  <si>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</si>
  <si>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</si>
  <si>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</si>
  <si>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</si>
  <si>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</si>
  <si>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</si>
  <si>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</si>
  <si>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</si>
  <si>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</si>
  <si>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</si>
  <si>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</si>
  <si>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</si>
  <si>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</si>
  <si>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</si>
  <si>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</si>
  <si>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</si>
  <si>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</si>
  <si>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</si>
  <si>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</si>
  <si>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</si>
  <si>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</si>
  <si>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</si>
  <si>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</si>
  <si>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</si>
  <si>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</si>
  <si>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</si>
  <si>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</si>
  <si>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</si>
  <si>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</si>
  <si>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</si>
  <si>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</si>
  <si>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</si>
  <si>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</si>
  <si>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</si>
  <si>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</si>
  <si>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</si>
  <si>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</si>
  <si>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</si>
  <si>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</si>
  <si>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</si>
  <si>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</si>
  <si>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</si>
  <si>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</si>
  <si>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</si>
  <si>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</si>
  <si>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</si>
  <si>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</si>
  <si>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</si>
  <si>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</si>
  <si>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</si>
  <si>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</si>
  <si>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</si>
  <si>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</si>
  <si>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</si>
  <si>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</si>
  <si>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</si>
  <si>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</si>
  <si>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</si>
  <si>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</si>
  <si>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</si>
  <si>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</si>
  <si>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</si>
  <si>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</si>
  <si>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</si>
  <si>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</si>
  <si>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</si>
  <si>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</si>
  <si>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</si>
  <si>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</si>
  <si>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</si>
  <si>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</si>
  <si>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</si>
  <si>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</si>
  <si>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</si>
  <si>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</si>
  <si>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</si>
  <si>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</si>
  <si>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</si>
  <si>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</si>
  <si>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</si>
  <si>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</si>
  <si>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</si>
  <si>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</si>
  <si>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</si>
  <si>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</si>
  <si>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</si>
  <si>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</si>
  <si>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</si>
  <si>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</si>
  <si>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</si>
  <si>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</si>
  <si>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</si>
  <si>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</si>
  <si>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</si>
  <si>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</si>
  <si>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</si>
  <si>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</si>
  <si>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</si>
  <si>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</si>
  <si>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</si>
  <si>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</si>
  <si>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</si>
  <si>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</si>
  <si>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</si>
  <si>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</si>
  <si>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</si>
  <si>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</si>
  <si>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</si>
  <si>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</si>
  <si>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</si>
  <si>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</si>
  <si>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</si>
  <si>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</si>
  <si>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</si>
  <si>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</si>
  <si>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</si>
  <si>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</si>
  <si>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</si>
  <si>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</si>
  <si>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</si>
  <si>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</si>
  <si>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</si>
  <si>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</si>
  <si>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</si>
  <si>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</si>
  <si>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</si>
  <si>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</si>
  <si>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</si>
  <si>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</si>
  <si>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</si>
  <si>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</si>
  <si>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</si>
  <si>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</si>
  <si>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</si>
  <si>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</si>
  <si>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</si>
  <si>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</si>
  <si>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</si>
  <si>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</si>
  <si>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</si>
  <si>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</si>
  <si>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</si>
  <si>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</si>
  <si>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</si>
  <si>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</si>
  <si>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</si>
  <si>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</si>
  <si>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</si>
  <si>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</si>
  <si>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</si>
  <si>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</si>
  <si>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</si>
  <si>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</si>
  <si>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</si>
  <si>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</si>
  <si>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</si>
  <si>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</si>
  <si>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</si>
  <si>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</si>
  <si>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</si>
  <si>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</si>
  <si>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</si>
  <si>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</si>
  <si>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</si>
  <si>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</si>
  <si>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</si>
  <si>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</si>
  <si>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</si>
  <si>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</si>
  <si>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</si>
  <si>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</si>
  <si>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</si>
  <si>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</si>
  <si>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</si>
  <si>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</si>
  <si>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</si>
  <si>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</si>
  <si>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</si>
  <si>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</si>
  <si>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</si>
  <si>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</si>
  <si>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</si>
  <si>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</si>
  <si>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</si>
  <si>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</si>
  <si>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</si>
  <si>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</si>
  <si>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</si>
  <si>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</si>
  <si>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</si>
  <si>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</si>
  <si>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</si>
  <si>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</si>
  <si>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</si>
  <si>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</si>
  <si>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</si>
  <si>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</si>
  <si>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</si>
  <si>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</si>
  <si>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</si>
  <si>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</si>
  <si>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</si>
  <si>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</si>
  <si>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</si>
  <si>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</si>
  <si>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</si>
  <si>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</si>
  <si>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</si>
  <si>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</si>
  <si>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</si>
  <si>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</si>
  <si>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</si>
  <si>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</si>
  <si>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</si>
  <si>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</si>
  <si>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</si>
  <si>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</si>
  <si>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</si>
  <si>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</si>
  <si>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</si>
  <si>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</si>
  <si>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</si>
  <si>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</si>
  <si>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</si>
  <si>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</si>
  <si>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</si>
  <si>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</si>
  <si>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</si>
  <si>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</si>
  <si>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</si>
  <si>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</si>
  <si>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</si>
  <si>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</si>
  <si>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</si>
  <si>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</si>
  <si>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在庫照会連携</t>
    <phoneticPr fontId="1"/>
  </si>
  <si>
    <t>K-FRONTIER</t>
    <phoneticPr fontId="1"/>
  </si>
  <si>
    <t>品番</t>
  </si>
  <si>
    <t>ダミー１</t>
  </si>
  <si>
    <t>エラーコード</t>
  </si>
  <si>
    <t>検索品番</t>
  </si>
  <si>
    <t>キセケ</t>
  </si>
  <si>
    <t>品名</t>
  </si>
  <si>
    <t>科目コード</t>
  </si>
  <si>
    <t>機種コード</t>
  </si>
  <si>
    <t>販売可否理由名</t>
  </si>
  <si>
    <t>代替品番</t>
  </si>
  <si>
    <t>小売単価</t>
  </si>
  <si>
    <t>統一サイン</t>
  </si>
  <si>
    <t>メーカー名</t>
  </si>
  <si>
    <t>情報（その他）</t>
  </si>
  <si>
    <t>倉庫１</t>
  </si>
  <si>
    <t>在庫数１</t>
  </si>
  <si>
    <t>倉庫２</t>
  </si>
  <si>
    <t>在庫数２</t>
  </si>
  <si>
    <t>倉庫３</t>
  </si>
  <si>
    <t>在庫数３</t>
  </si>
  <si>
    <t>倉庫４</t>
  </si>
  <si>
    <t>在庫数４</t>
  </si>
  <si>
    <t>倉庫５</t>
  </si>
  <si>
    <t>在庫数５</t>
  </si>
  <si>
    <t>倉庫６</t>
  </si>
  <si>
    <t>在庫数６</t>
  </si>
  <si>
    <t>検索品番１</t>
  </si>
  <si>
    <t>キセケ１</t>
  </si>
  <si>
    <t>検索品番２</t>
  </si>
  <si>
    <t>キセケ２</t>
  </si>
  <si>
    <t>検索品番３</t>
  </si>
  <si>
    <t>キセケ３</t>
  </si>
  <si>
    <t>検索品番４</t>
  </si>
  <si>
    <t>キセケ４</t>
  </si>
  <si>
    <t>検索品番５</t>
  </si>
  <si>
    <t>キセケ５</t>
  </si>
  <si>
    <t>検索品番６</t>
  </si>
  <si>
    <t>キセケ６</t>
  </si>
  <si>
    <t>完備サイン</t>
  </si>
  <si>
    <t>ダミー２</t>
  </si>
  <si>
    <t>文字(半角のみ)</t>
  </si>
  <si>
    <t>AKTOS在庫照会連携入出力パラメータ（MQ）.品番</t>
  </si>
  <si>
    <t>ブランク20桁</t>
  </si>
  <si>
    <t>BODYチェック処理のエラーコード</t>
  </si>
  <si>
    <t>品番INDEXマスター.検索品番 【R20B1011 ←AKTOS在庫照会連携入出力パラメータ（MQ）.検索品番】</t>
  </si>
  <si>
    <t>R20B1011_検索品番取得</t>
  </si>
  <si>
    <t>基本情報(販売含)VIEW .品名カナ</t>
  </si>
  <si>
    <t>基本情報(販売含)VIEW .科目コード</t>
  </si>
  <si>
    <t>基本情報(販売含)VIEW .小機種コード</t>
  </si>
  <si>
    <t>販売可否理由マスター.販売可否理由名</t>
  </si>
  <si>
    <t>基本情報(販売含)VIEW .代替品番
 (R20B3731oパ)品番統一サイン ≠ '1'(設変(新・旧))の場合 ブランク</t>
  </si>
  <si>
    <t>R20B3731_設計変更未実施品判定処理</t>
  </si>
  <si>
    <t>※左0埋め（9桁）
 国内販路判定結果サイン ＝ '1'（対象）の場合 (R20B3621oパ).国内標準単価（小数点以下切上）
 上記以外の場合 (R20B1571oパ).国内標準単価（小数点以下切上）
 基本情報(販売含)VIEW .販売可否区分 in ('2'（国内のみ販売不可）,'3'（輸出・国内とも販売不可）)の場合ゼロ。</t>
  </si>
  <si>
    <t>R20B3621_国内販路別標準単価取得(現在単価)
R20B1571_国内標準単価取得(現在単価)</t>
  </si>
  <si>
    <t>物理基本情報マスター＿主(品番情報).品番統一サイン
 3-Nの場合 ゼロ（取り扱い中の品目）</t>
  </si>
  <si>
    <t>メーカーマスター.メーカー名</t>
  </si>
  <si>
    <t>ブランク</t>
  </si>
  <si>
    <t>ＯＣ汎用マスタ.ＯＣ情報内容の1～2桁目
 (ＯＣ情報区分 ＝ '032' かつ ＯＣ情報コード ＝ (wk)得意先コード)　(ＯＣ情報コードがない場合'999999')</t>
  </si>
  <si>
    <t>R20B3111,R20B2101,R20B1171にてＰＣコード毎に在庫を集約後、倉庫１の倉庫コードに合致する在庫数を出力</t>
  </si>
  <si>
    <t>R20B3111_引当倉庫取得(受注用)
R20B2101_引当可能数算出
R20B1171_残し在庫数取得</t>
  </si>
  <si>
    <t>ＯＣ汎用マスタ.ＯＣ情報内容の3～4桁目
 ※検索条件は倉庫１と同様</t>
  </si>
  <si>
    <t>倉庫２に合致する在庫数を出力 ※在庫数１と同様</t>
  </si>
  <si>
    <t>ＯＣ汎用マスタ.ＯＣ情報内容の5～6桁目
 ※検索条件は倉庫１と同様</t>
  </si>
  <si>
    <t>倉庫３に合致する在庫数を出力 ※在庫数１と同様</t>
  </si>
  <si>
    <t>ＯＣ汎用マスタ.ＯＣ情報内容の7～8桁目
 ※検索条件は倉庫１と同様</t>
  </si>
  <si>
    <t>倉庫４に合致する在庫数を出力 ※在庫数１と同様</t>
  </si>
  <si>
    <t>ＯＣ汎用マスタ.ＯＣ情報内容の9～10桁目
 ※検索条件は倉庫１と同様</t>
  </si>
  <si>
    <t>倉庫５に合致する在庫数を出力 ※在庫数１と同様</t>
  </si>
  <si>
    <t>ＯＣ汎用マスタ.ＯＣ情報内容の11～12桁目
 ※検索条件は倉庫１と同様</t>
  </si>
  <si>
    <t>倉庫６に合致する在庫数を出力 ※在庫数１と同様</t>
  </si>
  <si>
    <t>品番INDEXマスター.検索品番 ※１～６については基礎コードの降順 R20B3731</t>
  </si>
  <si>
    <t>品番INDEXマスター.「基礎コード || 設変コード || 兼用コード」 ※１～６については基礎コードの降順 R20B3731</t>
  </si>
  <si>
    <t>※検索品番１と同様</t>
  </si>
  <si>
    <t>※キセケ１と同様</t>
  </si>
  <si>
    <t>※検索品番１と同様
　データが7件以上の場合、'**********'（全桁*埋め）</t>
  </si>
  <si>
    <t>※キセケ１と同様
　データ数が7件以上の場合 ' '（全桁空白埋め）</t>
  </si>
  <si>
    <t>基本情報(販売含)VIEW .販売可否区分 in ('2'（国内のみ販売不可）,'3'（輸出・国内とも販売不可）)  かつ 代替構成品番マスター.社外照会可否サイン='1'(照会可)の場合 '1'</t>
  </si>
  <si>
    <t>ブランク38桁</t>
  </si>
  <si>
    <t>品目コード</t>
    <rPh sb="0" eb="2">
      <t>ヒンモク</t>
    </rPh>
    <phoneticPr fontId="1"/>
  </si>
  <si>
    <t>ブランク</t>
    <phoneticPr fontId="1"/>
  </si>
  <si>
    <t>非標準</t>
    <rPh sb="0" eb="3">
      <t>ヒヒョウジュン</t>
    </rPh>
    <phoneticPr fontId="1"/>
  </si>
  <si>
    <t>MARA</t>
    <phoneticPr fontId="1"/>
  </si>
  <si>
    <t>品目テキスト</t>
    <rPh sb="0" eb="2">
      <t>ヒンモク</t>
    </rPh>
    <phoneticPr fontId="1"/>
  </si>
  <si>
    <t>MAKT</t>
    <phoneticPr fontId="1"/>
  </si>
  <si>
    <t>MAKTX</t>
    <phoneticPr fontId="1"/>
  </si>
  <si>
    <t>品目グループ 1</t>
  </si>
  <si>
    <t>MVKE</t>
  </si>
  <si>
    <t>MVGR1</t>
  </si>
  <si>
    <t>プラント固有品目ステータス</t>
  </si>
  <si>
    <t>MARC</t>
  </si>
  <si>
    <t>MMSTA</t>
  </si>
  <si>
    <t>品目ステータスの下１桁を変換</t>
    <rPh sb="0" eb="2">
      <t>ヒンモク</t>
    </rPh>
    <rPh sb="8" eb="9">
      <t>シモ</t>
    </rPh>
    <rPh sb="10" eb="11">
      <t>ケタ</t>
    </rPh>
    <rPh sb="12" eb="14">
      <t>ヘンカン</t>
    </rPh>
    <phoneticPr fontId="1"/>
  </si>
  <si>
    <t>非標準
S040検索品番との違いは？</t>
    <rPh sb="0" eb="3">
      <t>ヒヒョウジュン</t>
    </rPh>
    <rPh sb="14" eb="15">
      <t>チガ</t>
    </rPh>
    <phoneticPr fontId="1"/>
  </si>
  <si>
    <t>非標準
S050キセケとの違いは？</t>
    <rPh sb="0" eb="3">
      <t>ヒヒョウジュン</t>
    </rPh>
    <rPh sb="13" eb="14">
      <t>チガ</t>
    </rPh>
    <phoneticPr fontId="1"/>
  </si>
  <si>
    <t>分類の完備（親）サイン</t>
    <rPh sb="0" eb="2">
      <t>ブンルイ</t>
    </rPh>
    <phoneticPr fontId="1"/>
  </si>
  <si>
    <t>ZZ_MM_ASSY</t>
  </si>
  <si>
    <t>ZZ_ASSY_SIGN</t>
  </si>
  <si>
    <t>品目分類：完備（親）サイン</t>
    <rPh sb="0" eb="2">
      <t>ヒンモク</t>
    </rPh>
    <phoneticPr fontId="1"/>
  </si>
  <si>
    <t>品目階層</t>
  </si>
  <si>
    <t>PRDHA</t>
  </si>
  <si>
    <t>代替のターゲットオブジェクト</t>
  </si>
  <si>
    <t xml:space="preserve">MDSUB   </t>
  </si>
  <si>
    <t xml:space="preserve">SUBSTITUTE     </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</si>
  <si>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</si>
  <si>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</si>
  <si>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</si>
  <si>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</si>
  <si>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</si>
  <si>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</si>
  <si>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</si>
  <si>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IFZ9000016</t>
    <phoneticPr fontId="1"/>
  </si>
  <si>
    <t>Webサービス連携</t>
  </si>
  <si>
    <t>ブランク
以下、返信時設計項目</t>
    <rPh sb="5" eb="7">
      <t>イカ</t>
    </rPh>
    <rPh sb="8" eb="10">
      <t>ヘンシン</t>
    </rPh>
    <rPh sb="10" eb="11">
      <t>ジ</t>
    </rPh>
    <rPh sb="11" eb="13">
      <t>セッケイ</t>
    </rPh>
    <rPh sb="13" eb="15">
      <t>コウモク</t>
    </rPh>
    <phoneticPr fontId="1"/>
  </si>
  <si>
    <t>検索結果成否を設定</t>
    <rPh sb="0" eb="2">
      <t>ケンサク</t>
    </rPh>
    <rPh sb="2" eb="4">
      <t>ケッカ</t>
    </rPh>
    <rPh sb="4" eb="6">
      <t>セイヒ</t>
    </rPh>
    <rPh sb="7" eb="9">
      <t>セッテイ</t>
    </rPh>
    <phoneticPr fontId="1"/>
  </si>
  <si>
    <t>MARD</t>
  </si>
  <si>
    <t>MATNR</t>
  </si>
  <si>
    <t>CHAR</t>
    <phoneticPr fontId="1"/>
  </si>
  <si>
    <t>受信項目
在庫データ検索時の品目コードとして使用</t>
    <rPh sb="0" eb="2">
      <t>ジュシン</t>
    </rPh>
    <rPh sb="2" eb="4">
      <t>コウモク</t>
    </rPh>
    <rPh sb="5" eb="7">
      <t>ザイコ</t>
    </rPh>
    <rPh sb="10" eb="13">
      <t>ケンサクジ</t>
    </rPh>
    <rPh sb="14" eb="16">
      <t>ヒンモク</t>
    </rPh>
    <rPh sb="22" eb="24">
      <t>シヨウ</t>
    </rPh>
    <phoneticPr fontId="1"/>
  </si>
  <si>
    <t>FORMT</t>
  </si>
  <si>
    <t>品番INDEXマスター.「基礎コード||設変コード||兼用コード」 
【R20B1011 ←AKTOS在庫照会連携入出力パラメータ（MQ）.「基礎コード||設変コード||兼用コード」】</t>
    <phoneticPr fontId="1"/>
  </si>
  <si>
    <t>製造メモのページ書式</t>
    <phoneticPr fontId="1"/>
  </si>
  <si>
    <t>品目階層の11～10桁目の下3桁</t>
    <phoneticPr fontId="1"/>
  </si>
  <si>
    <t>条件レート</t>
    <rPh sb="0" eb="2">
      <t>ジョウケン</t>
    </rPh>
    <phoneticPr fontId="1"/>
  </si>
  <si>
    <t>KBETR</t>
  </si>
  <si>
    <t>KONP</t>
    <phoneticPr fontId="1"/>
  </si>
  <si>
    <t>11,2</t>
    <phoneticPr fontId="1"/>
  </si>
  <si>
    <t>CURR</t>
    <phoneticPr fontId="1"/>
  </si>
  <si>
    <t>価格条件マスタから取得。
受注伝票登録時の優先順は以下の通り。設定すべきはどれか？
①条件タイプ：ZP03(販路別標準小売単価)≠0の場合、ZP03(販路別標準小売単価)
②条件タイプ：ZP02(標準小売単価(MDOS))≠0の場合、ZP02(標準小売単価(MDOS))
③条件タイプ：ZP01(標準小売単価)≠0の場合、ZP01(標準小売単価)</t>
    <rPh sb="0" eb="2">
      <t>カカク</t>
    </rPh>
    <rPh sb="2" eb="4">
      <t>ジョウケン</t>
    </rPh>
    <rPh sb="9" eb="11">
      <t>シュトク</t>
    </rPh>
    <rPh sb="13" eb="17">
      <t>ジュチュウデンピョウ</t>
    </rPh>
    <rPh sb="17" eb="20">
      <t>トウロクジ</t>
    </rPh>
    <rPh sb="21" eb="23">
      <t>ユウセン</t>
    </rPh>
    <rPh sb="23" eb="24">
      <t>ジュン</t>
    </rPh>
    <rPh sb="25" eb="27">
      <t>イカ</t>
    </rPh>
    <rPh sb="28" eb="29">
      <t>トオ</t>
    </rPh>
    <rPh sb="31" eb="33">
      <t>セッテイ</t>
    </rPh>
    <phoneticPr fontId="1"/>
  </si>
  <si>
    <t>S0150～S0260
KAPSではＯＣ汎用マスタ.ＯＣ情報で顧客別に倉庫の表示順を管理している。アドオンマスタ必要。</t>
    <rPh sb="42" eb="44">
      <t>カンリ</t>
    </rPh>
    <rPh sb="56" eb="58">
      <t>ヒツヨウ</t>
    </rPh>
    <phoneticPr fontId="1"/>
  </si>
  <si>
    <t>S0150・S0160参照</t>
    <rPh sb="11" eb="13">
      <t>サンショウ</t>
    </rPh>
    <phoneticPr fontId="1"/>
  </si>
  <si>
    <t>上3桁がキセケ</t>
    <rPh sb="0" eb="1">
      <t>カミ</t>
    </rPh>
    <rPh sb="2" eb="3">
      <t>ケタ</t>
    </rPh>
    <phoneticPr fontId="1"/>
  </si>
  <si>
    <t>S0150～S0260
倉庫(プラント)１～６の有効在庫保管場所(A001)の利用可能在庫数量を設定。受注引当済数量や転送・発注の入出庫予定数量を加味するか検討必要。
また、KAPSには残し在庫数（倉庫に絶対残しておくべき数量or率）の管理もある。これも検討事項。</t>
    <rPh sb="12" eb="14">
      <t>ソウコ</t>
    </rPh>
    <rPh sb="24" eb="26">
      <t>ユウコウ</t>
    </rPh>
    <rPh sb="26" eb="28">
      <t>ザイコ</t>
    </rPh>
    <rPh sb="28" eb="30">
      <t>ホカン</t>
    </rPh>
    <rPh sb="30" eb="32">
      <t>バショ</t>
    </rPh>
    <rPh sb="39" eb="41">
      <t>リヨウ</t>
    </rPh>
    <rPh sb="41" eb="43">
      <t>カノウ</t>
    </rPh>
    <rPh sb="48" eb="50">
      <t>セッテイ</t>
    </rPh>
    <rPh sb="51" eb="53">
      <t>ジュチュウ</t>
    </rPh>
    <rPh sb="53" eb="55">
      <t>ヒキアテ</t>
    </rPh>
    <rPh sb="55" eb="56">
      <t>スミ</t>
    </rPh>
    <rPh sb="56" eb="58">
      <t>スウリョウ</t>
    </rPh>
    <rPh sb="59" eb="61">
      <t>テンソウ</t>
    </rPh>
    <rPh sb="62" eb="64">
      <t>ハッチュウ</t>
    </rPh>
    <rPh sb="65" eb="68">
      <t>ニュウシュッコ</t>
    </rPh>
    <rPh sb="68" eb="70">
      <t>ヨテイ</t>
    </rPh>
    <rPh sb="70" eb="72">
      <t>スウリョウ</t>
    </rPh>
    <rPh sb="73" eb="75">
      <t>カミ</t>
    </rPh>
    <rPh sb="78" eb="80">
      <t>ケントウ</t>
    </rPh>
    <rPh sb="80" eb="82">
      <t>ヒツヨウ</t>
    </rPh>
    <rPh sb="118" eb="120">
      <t>カンリ</t>
    </rPh>
    <rPh sb="127" eb="129">
      <t>ケントウ</t>
    </rPh>
    <rPh sb="129" eb="131">
      <t>ジコウ</t>
    </rPh>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</si>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</sst>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0" t="s">
        <v>674</v>
      </c>
      <c r="E16" s="220"/>
      <c r="F16" s="220"/>
      <c r="G16" s="220"/>
    </row>
    <row r="17" spans="3:7" ht="15.75" customHeight="1">
      <c r="C17" s="18" t="s">
        <v>13</v>
      </c>
      <c r="D17" s="221" t="s">
        <v>562</v>
      </c>
      <c r="E17" s="222"/>
      <c r="F17" s="222"/>
      <c r="G17" s="223"/>
    </row>
    <row r="18" spans="3:7">
      <c r="C18" s="18" t="s">
        <v>32</v>
      </c>
      <c r="D18" s="221" t="s">
        <v>675</v>
      </c>
      <c r="E18" s="222"/>
      <c r="F18" s="222"/>
      <c r="G18" s="22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7" t="s">
        <v>17</v>
      </c>
      <c r="B1" s="228"/>
      <c r="C1" s="229"/>
      <c r="D1" s="230" t="s">
        <v>4</v>
      </c>
      <c r="E1" s="228"/>
      <c r="F1" s="228"/>
      <c r="G1" s="228"/>
      <c r="H1" s="228"/>
      <c r="I1" s="228"/>
      <c r="J1" s="228"/>
      <c r="K1" s="23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4" t="str">
        <f>IF(表紙!D16&lt;&gt;"",表紙!D16,"")</f>
        <v>IFZ9000016</v>
      </c>
      <c r="B2" s="225"/>
      <c r="C2" s="226"/>
      <c r="D2" s="232" t="str">
        <f>IF(表紙!D17&lt;&gt;"",表紙!D17,"")</f>
        <v>在庫照会連携</v>
      </c>
      <c r="E2" s="233"/>
      <c r="F2" s="233"/>
      <c r="G2" s="233"/>
      <c r="H2" s="233"/>
      <c r="I2" s="233"/>
      <c r="J2" s="233"/>
      <c r="K2" s="23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W51"/>
  <sheetViews>
    <sheetView showGridLines="0" zoomScaleNormal="100" zoomScaleSheetLayoutView="70" zoomScalePageLayoutView="70" workbookViewId="0">
      <pane ySplit="6" topLeftCell="A7" activePane="bottomLeft" state="frozen"/>
      <selection activeCell="K38" sqref="K38"/>
      <selection pane="bottomLeft" activeCell="B7" sqref="B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29.6328125" style="1" customWidth="1" outlineLevel="1"/>
    <col min="10" max="10" width="23.1796875" style="1" customWidth="1" outlineLevel="1"/>
    <col min="11" max="11" width="8.36328125" style="1" bestFit="1" customWidth="1"/>
    <col min="12" max="14" width="18.453125" style="1" customWidth="1"/>
    <col min="15" max="15" width="7.90625" style="1" bestFit="1" customWidth="1"/>
    <col min="16" max="16" width="12.453125" style="1" customWidth="1"/>
    <col min="17" max="17" width="2.6328125" style="1"/>
    <col min="18" max="19" width="10.81640625" style="1" customWidth="1"/>
    <col min="20" max="20" width="26.90625" style="1" customWidth="1"/>
    <col min="21" max="21" width="4.81640625" style="1" customWidth="1"/>
    <col min="22" max="22" width="32.1796875" style="1" customWidth="1"/>
    <col min="23" max="23" width="26.90625" style="1" customWidth="1"/>
    <col min="24" max="16384" width="2.6328125" style="1"/>
  </cols>
  <sheetData>
    <row r="1" spans="1:23">
      <c r="A1" s="253" t="s">
        <v>17</v>
      </c>
      <c r="B1" s="254"/>
      <c r="C1" s="255" t="s">
        <v>4</v>
      </c>
      <c r="D1" s="256"/>
      <c r="E1" s="257"/>
      <c r="M1" s="17"/>
      <c r="N1" s="17"/>
      <c r="P1" s="17"/>
      <c r="Q1" s="1" t="s">
        <v>354</v>
      </c>
    </row>
    <row r="2" spans="1:23">
      <c r="A2" s="224" t="str">
        <f>IF(表紙!D16&lt;&gt;"",表紙!D16,"")</f>
        <v>IFZ9000016</v>
      </c>
      <c r="B2" s="226"/>
      <c r="C2" s="224" t="str">
        <f>IF(表紙!D17&lt;&gt;"",表紙!D17,"")</f>
        <v>在庫照会連携</v>
      </c>
      <c r="D2" s="225"/>
      <c r="E2" s="226"/>
      <c r="M2" s="16"/>
      <c r="N2" s="16"/>
      <c r="P2" s="16"/>
    </row>
    <row r="3" spans="1:23" ht="15.5" thickBot="1"/>
    <row r="4" spans="1:23" ht="13.5" customHeight="1" thickBot="1">
      <c r="A4" s="258" t="s">
        <v>49</v>
      </c>
      <c r="B4" s="259"/>
      <c r="C4" s="259"/>
      <c r="D4" s="259"/>
      <c r="E4" s="259"/>
      <c r="F4" s="260"/>
      <c r="G4" s="261" t="s">
        <v>67</v>
      </c>
      <c r="H4" s="110" t="s">
        <v>194</v>
      </c>
      <c r="I4" s="217"/>
      <c r="J4" s="217"/>
      <c r="K4" s="243" t="s">
        <v>50</v>
      </c>
      <c r="L4" s="244"/>
      <c r="M4" s="244"/>
      <c r="N4" s="244"/>
      <c r="O4" s="244"/>
      <c r="P4" s="245"/>
      <c r="R4" s="235" t="s">
        <v>347</v>
      </c>
      <c r="S4" s="236"/>
      <c r="T4" s="236"/>
      <c r="U4" s="236"/>
      <c r="V4" s="236"/>
      <c r="W4" s="237"/>
    </row>
    <row r="5" spans="1:23" ht="26.25" customHeight="1">
      <c r="A5" s="246" t="s">
        <v>529</v>
      </c>
      <c r="B5" s="247"/>
      <c r="C5" s="247"/>
      <c r="D5" s="247"/>
      <c r="E5" s="247"/>
      <c r="F5" s="248"/>
      <c r="G5" s="262"/>
      <c r="H5" s="249" t="s">
        <v>218</v>
      </c>
      <c r="I5" s="264" t="s">
        <v>530</v>
      </c>
      <c r="J5" s="264" t="s">
        <v>530</v>
      </c>
      <c r="K5" s="251" t="s">
        <v>563</v>
      </c>
      <c r="L5" s="247"/>
      <c r="M5" s="247"/>
      <c r="N5" s="247"/>
      <c r="O5" s="247"/>
      <c r="P5" s="252"/>
      <c r="R5" s="238" t="s">
        <v>348</v>
      </c>
      <c r="S5" s="239"/>
      <c r="T5" s="240"/>
      <c r="U5" s="238" t="s">
        <v>522</v>
      </c>
      <c r="V5" s="240"/>
      <c r="W5" s="241" t="s">
        <v>349</v>
      </c>
    </row>
    <row r="6" spans="1:23" ht="14.4" customHeight="1" thickBot="1">
      <c r="A6" s="172" t="s">
        <v>117</v>
      </c>
      <c r="B6" s="111" t="s">
        <v>9</v>
      </c>
      <c r="C6" s="112" t="s">
        <v>45</v>
      </c>
      <c r="D6" s="111" t="s">
        <v>5</v>
      </c>
      <c r="E6" s="113" t="s">
        <v>225</v>
      </c>
      <c r="F6" s="112" t="s">
        <v>8</v>
      </c>
      <c r="G6" s="263"/>
      <c r="H6" s="250"/>
      <c r="I6" s="265"/>
      <c r="J6" s="265"/>
      <c r="K6" s="114" t="s">
        <v>117</v>
      </c>
      <c r="L6" s="115" t="s">
        <v>9</v>
      </c>
      <c r="M6" s="115" t="s">
        <v>45</v>
      </c>
      <c r="N6" s="114" t="s">
        <v>5</v>
      </c>
      <c r="O6" s="114" t="s">
        <v>225</v>
      </c>
      <c r="P6" s="116" t="s">
        <v>8</v>
      </c>
      <c r="R6" s="154" t="s">
        <v>350</v>
      </c>
      <c r="S6" s="154" t="s">
        <v>351</v>
      </c>
      <c r="T6" s="154" t="s">
        <v>352</v>
      </c>
      <c r="U6" s="154" t="s">
        <v>120</v>
      </c>
      <c r="V6" s="155" t="s">
        <v>353</v>
      </c>
      <c r="W6" s="242"/>
    </row>
    <row r="7" spans="1:23" ht="45.5" thickTop="1">
      <c r="A7" s="64" t="s">
        <v>511</v>
      </c>
      <c r="B7" s="206"/>
      <c r="C7" s="207"/>
      <c r="D7" s="208"/>
      <c r="E7" s="209"/>
      <c r="F7" s="210"/>
      <c r="G7" s="117" t="s">
        <v>528</v>
      </c>
      <c r="H7" s="211" t="s">
        <v>681</v>
      </c>
      <c r="I7" s="211" t="s">
        <v>605</v>
      </c>
      <c r="J7" s="211"/>
      <c r="K7" s="65" t="s">
        <v>528</v>
      </c>
      <c r="L7" s="206" t="s">
        <v>564</v>
      </c>
      <c r="M7" s="212"/>
      <c r="N7" s="208"/>
      <c r="O7" s="209">
        <v>10</v>
      </c>
      <c r="P7" s="210" t="s">
        <v>604</v>
      </c>
      <c r="R7" s="156"/>
      <c r="S7" s="156"/>
      <c r="T7" s="157"/>
      <c r="U7" s="157"/>
      <c r="V7" s="169"/>
      <c r="W7" s="158"/>
    </row>
    <row r="8" spans="1:23" ht="30">
      <c r="A8" s="64" t="s">
        <v>512</v>
      </c>
      <c r="B8" s="206"/>
      <c r="C8" s="207"/>
      <c r="D8" s="208"/>
      <c r="E8" s="209"/>
      <c r="F8" s="210"/>
      <c r="G8" s="117" t="s">
        <v>531</v>
      </c>
      <c r="H8" s="211" t="s">
        <v>676</v>
      </c>
      <c r="I8" s="211" t="s">
        <v>606</v>
      </c>
      <c r="J8" s="211"/>
      <c r="K8" s="65" t="s">
        <v>531</v>
      </c>
      <c r="L8" s="206" t="s">
        <v>565</v>
      </c>
      <c r="M8" s="212"/>
      <c r="N8" s="208"/>
      <c r="O8" s="209">
        <v>20</v>
      </c>
      <c r="P8" s="210" t="s">
        <v>604</v>
      </c>
      <c r="R8" s="159"/>
      <c r="S8" s="159"/>
      <c r="T8" s="160"/>
      <c r="U8" s="160"/>
      <c r="V8" s="169"/>
      <c r="W8" s="161"/>
    </row>
    <row r="9" spans="1:23">
      <c r="A9" s="64" t="s">
        <v>521</v>
      </c>
      <c r="B9" s="206"/>
      <c r="C9" s="207"/>
      <c r="D9" s="208"/>
      <c r="E9" s="209"/>
      <c r="F9" s="210"/>
      <c r="G9" s="117" t="s">
        <v>513</v>
      </c>
      <c r="H9" s="211" t="s">
        <v>677</v>
      </c>
      <c r="I9" s="211" t="s">
        <v>607</v>
      </c>
      <c r="J9" s="211"/>
      <c r="K9" s="65" t="s">
        <v>513</v>
      </c>
      <c r="L9" s="206" t="s">
        <v>566</v>
      </c>
      <c r="M9" s="212"/>
      <c r="N9" s="208"/>
      <c r="O9" s="209">
        <v>4</v>
      </c>
      <c r="P9" s="210" t="s">
        <v>604</v>
      </c>
      <c r="R9" s="159"/>
      <c r="S9" s="159"/>
      <c r="T9" s="160"/>
      <c r="U9" s="160"/>
      <c r="V9" s="169"/>
      <c r="W9" s="161"/>
    </row>
    <row r="10" spans="1:23" ht="60">
      <c r="A10" s="64" t="s">
        <v>514</v>
      </c>
      <c r="B10" s="214" t="s">
        <v>642</v>
      </c>
      <c r="C10" s="215" t="s">
        <v>678</v>
      </c>
      <c r="D10" s="216" t="s">
        <v>679</v>
      </c>
      <c r="E10" s="209">
        <v>40</v>
      </c>
      <c r="F10" s="210" t="s">
        <v>680</v>
      </c>
      <c r="G10" s="117" t="s">
        <v>514</v>
      </c>
      <c r="H10" s="211"/>
      <c r="I10" s="211" t="s">
        <v>608</v>
      </c>
      <c r="J10" s="211" t="s">
        <v>609</v>
      </c>
      <c r="K10" s="65" t="s">
        <v>514</v>
      </c>
      <c r="L10" s="206" t="s">
        <v>567</v>
      </c>
      <c r="M10" s="212"/>
      <c r="N10" s="208"/>
      <c r="O10" s="209">
        <v>10</v>
      </c>
      <c r="P10" s="210" t="s">
        <v>604</v>
      </c>
      <c r="R10" s="162"/>
      <c r="S10" s="162"/>
      <c r="T10" s="163"/>
      <c r="U10" s="160"/>
      <c r="V10" s="169"/>
      <c r="W10" s="164"/>
    </row>
    <row r="11" spans="1:23" ht="90">
      <c r="A11" s="64" t="s">
        <v>515</v>
      </c>
      <c r="B11" s="214" t="s">
        <v>684</v>
      </c>
      <c r="C11" s="215" t="s">
        <v>645</v>
      </c>
      <c r="D11" s="216" t="s">
        <v>682</v>
      </c>
      <c r="E11" s="209">
        <v>4</v>
      </c>
      <c r="F11" s="210" t="s">
        <v>680</v>
      </c>
      <c r="G11" s="213" t="s">
        <v>515</v>
      </c>
      <c r="H11" s="211" t="s">
        <v>694</v>
      </c>
      <c r="I11" s="211" t="s">
        <v>683</v>
      </c>
      <c r="J11" s="211" t="s">
        <v>609</v>
      </c>
      <c r="K11" s="65" t="s">
        <v>515</v>
      </c>
      <c r="L11" s="206" t="s">
        <v>568</v>
      </c>
      <c r="M11" s="212"/>
      <c r="N11" s="208"/>
      <c r="O11" s="209">
        <v>3</v>
      </c>
      <c r="P11" s="210" t="s">
        <v>604</v>
      </c>
      <c r="R11" s="159"/>
      <c r="S11" s="159"/>
      <c r="T11" s="160"/>
      <c r="U11" s="160"/>
      <c r="V11" s="169"/>
      <c r="W11" s="161"/>
    </row>
    <row r="12" spans="1:23" ht="30">
      <c r="A12" s="64" t="s">
        <v>516</v>
      </c>
      <c r="B12" s="206" t="s">
        <v>646</v>
      </c>
      <c r="C12" s="207" t="s">
        <v>647</v>
      </c>
      <c r="D12" s="208" t="s">
        <v>648</v>
      </c>
      <c r="E12" s="209">
        <v>40</v>
      </c>
      <c r="F12" s="210" t="s">
        <v>680</v>
      </c>
      <c r="G12" s="117" t="s">
        <v>516</v>
      </c>
      <c r="H12" s="211"/>
      <c r="I12" s="211" t="s">
        <v>610</v>
      </c>
      <c r="J12" s="211"/>
      <c r="K12" s="65" t="s">
        <v>516</v>
      </c>
      <c r="L12" s="206" t="s">
        <v>569</v>
      </c>
      <c r="M12" s="212"/>
      <c r="N12" s="208"/>
      <c r="O12" s="209">
        <v>20</v>
      </c>
      <c r="P12" s="210" t="s">
        <v>604</v>
      </c>
      <c r="R12" s="159"/>
      <c r="S12" s="159"/>
      <c r="T12" s="163"/>
      <c r="U12" s="160"/>
      <c r="V12" s="169"/>
      <c r="W12" s="164"/>
    </row>
    <row r="13" spans="1:23" ht="30">
      <c r="A13" s="64" t="s">
        <v>517</v>
      </c>
      <c r="B13" s="214" t="s">
        <v>649</v>
      </c>
      <c r="C13" s="215" t="s">
        <v>650</v>
      </c>
      <c r="D13" s="216" t="s">
        <v>651</v>
      </c>
      <c r="E13" s="209">
        <v>3</v>
      </c>
      <c r="F13" s="210" t="s">
        <v>680</v>
      </c>
      <c r="G13" s="117" t="s">
        <v>517</v>
      </c>
      <c r="H13" s="211"/>
      <c r="I13" s="211" t="s">
        <v>611</v>
      </c>
      <c r="J13" s="211"/>
      <c r="K13" s="65" t="s">
        <v>517</v>
      </c>
      <c r="L13" s="206" t="s">
        <v>570</v>
      </c>
      <c r="M13" s="212"/>
      <c r="N13" s="208"/>
      <c r="O13" s="209">
        <v>3</v>
      </c>
      <c r="P13" s="210" t="s">
        <v>604</v>
      </c>
      <c r="R13" s="159"/>
      <c r="S13" s="159"/>
      <c r="T13" s="160"/>
      <c r="U13" s="160"/>
      <c r="V13" s="169"/>
      <c r="W13" s="161"/>
    </row>
    <row r="14" spans="1:23" ht="30">
      <c r="A14" s="64" t="s">
        <v>518</v>
      </c>
      <c r="B14" s="206" t="s">
        <v>662</v>
      </c>
      <c r="C14" s="207" t="s">
        <v>645</v>
      </c>
      <c r="D14" s="208" t="s">
        <v>663</v>
      </c>
      <c r="E14" s="209">
        <v>18</v>
      </c>
      <c r="F14" s="210" t="s">
        <v>680</v>
      </c>
      <c r="G14" s="117" t="s">
        <v>518</v>
      </c>
      <c r="H14" s="211" t="s">
        <v>685</v>
      </c>
      <c r="I14" s="211" t="s">
        <v>612</v>
      </c>
      <c r="J14" s="211"/>
      <c r="K14" s="65" t="s">
        <v>518</v>
      </c>
      <c r="L14" s="206" t="s">
        <v>571</v>
      </c>
      <c r="M14" s="212"/>
      <c r="N14" s="208"/>
      <c r="O14" s="209">
        <v>3</v>
      </c>
      <c r="P14" s="210" t="s">
        <v>604</v>
      </c>
      <c r="R14" s="159"/>
      <c r="S14" s="159"/>
      <c r="T14" s="163"/>
      <c r="U14" s="160"/>
      <c r="V14" s="169"/>
      <c r="W14" s="164"/>
    </row>
    <row r="15" spans="1:23" ht="30">
      <c r="A15" s="64" t="s">
        <v>519</v>
      </c>
      <c r="B15" s="206" t="s">
        <v>652</v>
      </c>
      <c r="C15" s="207" t="s">
        <v>653</v>
      </c>
      <c r="D15" s="208" t="s">
        <v>654</v>
      </c>
      <c r="E15" s="209">
        <v>2</v>
      </c>
      <c r="F15" s="210" t="s">
        <v>680</v>
      </c>
      <c r="G15" s="117" t="s">
        <v>519</v>
      </c>
      <c r="H15" s="211" t="s">
        <v>655</v>
      </c>
      <c r="I15" s="211" t="s">
        <v>613</v>
      </c>
      <c r="J15" s="211"/>
      <c r="K15" s="65" t="s">
        <v>519</v>
      </c>
      <c r="L15" s="206" t="s">
        <v>572</v>
      </c>
      <c r="M15" s="212"/>
      <c r="N15" s="208"/>
      <c r="O15" s="209">
        <v>8</v>
      </c>
      <c r="P15" s="210" t="s">
        <v>604</v>
      </c>
      <c r="R15" s="159"/>
      <c r="S15" s="159"/>
      <c r="T15" s="160"/>
      <c r="U15" s="160"/>
      <c r="V15" s="169"/>
      <c r="W15" s="161"/>
    </row>
    <row r="16" spans="1:23" ht="75">
      <c r="A16" s="64" t="s">
        <v>520</v>
      </c>
      <c r="B16" s="206" t="s">
        <v>664</v>
      </c>
      <c r="C16" s="207" t="s">
        <v>665</v>
      </c>
      <c r="D16" s="208" t="s">
        <v>666</v>
      </c>
      <c r="E16" s="209">
        <v>40</v>
      </c>
      <c r="F16" s="210" t="s">
        <v>680</v>
      </c>
      <c r="G16" s="117" t="s">
        <v>520</v>
      </c>
      <c r="H16" s="211"/>
      <c r="I16" s="211" t="s">
        <v>614</v>
      </c>
      <c r="J16" s="211" t="s">
        <v>615</v>
      </c>
      <c r="K16" s="65" t="s">
        <v>520</v>
      </c>
      <c r="L16" s="206" t="s">
        <v>573</v>
      </c>
      <c r="M16" s="212"/>
      <c r="N16" s="208"/>
      <c r="O16" s="209">
        <v>10</v>
      </c>
      <c r="P16" s="210" t="s">
        <v>604</v>
      </c>
      <c r="R16" s="159"/>
      <c r="S16" s="159"/>
      <c r="T16" s="160"/>
      <c r="U16" s="160"/>
      <c r="V16" s="169"/>
      <c r="W16" s="161"/>
    </row>
    <row r="17" spans="1:23" ht="180">
      <c r="A17" s="64" t="s">
        <v>532</v>
      </c>
      <c r="B17" s="206" t="s">
        <v>686</v>
      </c>
      <c r="C17" s="207" t="s">
        <v>688</v>
      </c>
      <c r="D17" s="208" t="s">
        <v>687</v>
      </c>
      <c r="E17" s="209" t="s">
        <v>689</v>
      </c>
      <c r="F17" s="210" t="s">
        <v>690</v>
      </c>
      <c r="G17" s="117" t="s">
        <v>532</v>
      </c>
      <c r="H17" s="211" t="s">
        <v>691</v>
      </c>
      <c r="I17" s="211" t="s">
        <v>616</v>
      </c>
      <c r="J17" s="211" t="s">
        <v>617</v>
      </c>
      <c r="K17" s="65" t="s">
        <v>532</v>
      </c>
      <c r="L17" s="206" t="s">
        <v>574</v>
      </c>
      <c r="M17" s="212"/>
      <c r="N17" s="208"/>
      <c r="O17" s="209">
        <v>9</v>
      </c>
      <c r="P17" s="210" t="s">
        <v>604</v>
      </c>
      <c r="R17" s="159"/>
      <c r="S17" s="159"/>
      <c r="T17" s="160"/>
      <c r="U17" s="160"/>
      <c r="V17" s="169"/>
      <c r="W17" s="161"/>
    </row>
    <row r="18" spans="1:23" ht="60">
      <c r="A18" s="64" t="s">
        <v>533</v>
      </c>
      <c r="B18" s="206"/>
      <c r="C18" s="207"/>
      <c r="D18" s="208"/>
      <c r="E18" s="209"/>
      <c r="F18" s="210"/>
      <c r="G18" s="117" t="s">
        <v>533</v>
      </c>
      <c r="H18" s="211" t="s">
        <v>644</v>
      </c>
      <c r="I18" s="211" t="s">
        <v>618</v>
      </c>
      <c r="J18" s="211"/>
      <c r="K18" s="65" t="s">
        <v>533</v>
      </c>
      <c r="L18" s="206" t="s">
        <v>575</v>
      </c>
      <c r="M18" s="212"/>
      <c r="N18" s="208"/>
      <c r="O18" s="209">
        <v>1</v>
      </c>
      <c r="P18" s="210" t="s">
        <v>604</v>
      </c>
      <c r="R18" s="159"/>
      <c r="S18" s="159"/>
      <c r="T18" s="165"/>
      <c r="U18" s="160"/>
      <c r="V18" s="169"/>
      <c r="W18" s="164"/>
    </row>
    <row r="19" spans="1:23">
      <c r="A19" s="64" t="s">
        <v>534</v>
      </c>
      <c r="B19" s="206"/>
      <c r="C19" s="207"/>
      <c r="D19" s="208"/>
      <c r="E19" s="209"/>
      <c r="F19" s="210"/>
      <c r="G19" s="117" t="s">
        <v>534</v>
      </c>
      <c r="H19" s="211" t="s">
        <v>644</v>
      </c>
      <c r="I19" s="211" t="s">
        <v>619</v>
      </c>
      <c r="J19" s="211"/>
      <c r="K19" s="65" t="s">
        <v>534</v>
      </c>
      <c r="L19" s="206" t="s">
        <v>576</v>
      </c>
      <c r="M19" s="212"/>
      <c r="N19" s="208"/>
      <c r="O19" s="209">
        <v>30</v>
      </c>
      <c r="P19" s="210" t="s">
        <v>604</v>
      </c>
      <c r="R19" s="159"/>
      <c r="S19" s="159"/>
      <c r="T19" s="160"/>
      <c r="U19" s="160"/>
      <c r="V19" s="169"/>
      <c r="W19" s="161"/>
    </row>
    <row r="20" spans="1:23">
      <c r="A20" s="64" t="s">
        <v>535</v>
      </c>
      <c r="B20" s="206"/>
      <c r="C20" s="207"/>
      <c r="D20" s="208"/>
      <c r="E20" s="209"/>
      <c r="F20" s="210"/>
      <c r="G20" s="117" t="s">
        <v>535</v>
      </c>
      <c r="H20" s="211" t="s">
        <v>643</v>
      </c>
      <c r="I20" s="211" t="s">
        <v>620</v>
      </c>
      <c r="J20" s="211"/>
      <c r="K20" s="65" t="s">
        <v>535</v>
      </c>
      <c r="L20" s="206" t="s">
        <v>577</v>
      </c>
      <c r="M20" s="212"/>
      <c r="N20" s="208"/>
      <c r="O20" s="209">
        <v>20</v>
      </c>
      <c r="P20" s="210" t="s">
        <v>604</v>
      </c>
      <c r="R20" s="159"/>
      <c r="S20" s="159"/>
      <c r="T20" s="160"/>
      <c r="U20" s="160"/>
      <c r="V20" s="169"/>
      <c r="W20" s="161"/>
    </row>
    <row r="21" spans="1:23" ht="90">
      <c r="A21" s="64" t="s">
        <v>536</v>
      </c>
      <c r="B21" s="206"/>
      <c r="C21" s="207"/>
      <c r="D21" s="208"/>
      <c r="E21" s="209"/>
      <c r="F21" s="210"/>
      <c r="G21" s="213" t="s">
        <v>536</v>
      </c>
      <c r="H21" s="211" t="s">
        <v>692</v>
      </c>
      <c r="I21" s="211" t="s">
        <v>621</v>
      </c>
      <c r="J21" s="211"/>
      <c r="K21" s="65" t="s">
        <v>536</v>
      </c>
      <c r="L21" s="206" t="s">
        <v>578</v>
      </c>
      <c r="M21" s="212"/>
      <c r="N21" s="208"/>
      <c r="O21" s="209">
        <v>2</v>
      </c>
      <c r="P21" s="210" t="s">
        <v>604</v>
      </c>
      <c r="R21" s="159"/>
      <c r="S21" s="159"/>
      <c r="T21" s="163"/>
      <c r="U21" s="160"/>
      <c r="V21" s="169"/>
      <c r="W21" s="164"/>
    </row>
    <row r="22" spans="1:23" ht="150">
      <c r="A22" s="64" t="s">
        <v>537</v>
      </c>
      <c r="B22" s="206"/>
      <c r="C22" s="207"/>
      <c r="D22" s="208"/>
      <c r="E22" s="209"/>
      <c r="F22" s="210"/>
      <c r="G22" s="117" t="s">
        <v>537</v>
      </c>
      <c r="H22" s="211" t="s">
        <v>695</v>
      </c>
      <c r="I22" s="211" t="s">
        <v>622</v>
      </c>
      <c r="J22" s="211" t="s">
        <v>623</v>
      </c>
      <c r="K22" s="65" t="s">
        <v>537</v>
      </c>
      <c r="L22" s="206" t="s">
        <v>579</v>
      </c>
      <c r="M22" s="212"/>
      <c r="N22" s="208"/>
      <c r="O22" s="209">
        <v>7</v>
      </c>
      <c r="P22" s="210" t="s">
        <v>604</v>
      </c>
      <c r="R22" s="159"/>
      <c r="S22" s="159"/>
      <c r="T22" s="160"/>
      <c r="U22" s="160"/>
      <c r="V22" s="169"/>
      <c r="W22" s="161"/>
    </row>
    <row r="23" spans="1:23" ht="45">
      <c r="A23" s="64" t="s">
        <v>538</v>
      </c>
      <c r="B23" s="206"/>
      <c r="C23" s="207"/>
      <c r="D23" s="208"/>
      <c r="E23" s="209"/>
      <c r="F23" s="210"/>
      <c r="G23" s="117" t="s">
        <v>538</v>
      </c>
      <c r="H23" s="211" t="s">
        <v>693</v>
      </c>
      <c r="I23" s="211" t="s">
        <v>624</v>
      </c>
      <c r="J23" s="211"/>
      <c r="K23" s="65" t="s">
        <v>538</v>
      </c>
      <c r="L23" s="206" t="s">
        <v>580</v>
      </c>
      <c r="M23" s="212"/>
      <c r="N23" s="208"/>
      <c r="O23" s="209">
        <v>2</v>
      </c>
      <c r="P23" s="210" t="s">
        <v>604</v>
      </c>
      <c r="R23" s="159"/>
      <c r="S23" s="159"/>
      <c r="T23" s="160"/>
      <c r="U23" s="160"/>
      <c r="V23" s="169"/>
      <c r="W23" s="161"/>
    </row>
    <row r="24" spans="1:23" ht="30">
      <c r="A24" s="64" t="s">
        <v>539</v>
      </c>
      <c r="B24" s="206"/>
      <c r="C24" s="207"/>
      <c r="D24" s="208"/>
      <c r="E24" s="209"/>
      <c r="F24" s="210"/>
      <c r="G24" s="117" t="s">
        <v>539</v>
      </c>
      <c r="H24" s="211" t="s">
        <v>693</v>
      </c>
      <c r="I24" s="211" t="s">
        <v>625</v>
      </c>
      <c r="J24" s="211"/>
      <c r="K24" s="65" t="s">
        <v>539</v>
      </c>
      <c r="L24" s="206" t="s">
        <v>581</v>
      </c>
      <c r="M24" s="212"/>
      <c r="N24" s="208"/>
      <c r="O24" s="209">
        <v>7</v>
      </c>
      <c r="P24" s="210" t="s">
        <v>604</v>
      </c>
      <c r="R24" s="159"/>
      <c r="S24" s="159"/>
      <c r="T24" s="160"/>
      <c r="U24" s="160"/>
      <c r="V24" s="169"/>
      <c r="W24" s="161"/>
    </row>
    <row r="25" spans="1:23" ht="45">
      <c r="A25" s="64" t="s">
        <v>540</v>
      </c>
      <c r="B25" s="206"/>
      <c r="C25" s="207"/>
      <c r="D25" s="208"/>
      <c r="E25" s="209"/>
      <c r="F25" s="210"/>
      <c r="G25" s="117" t="s">
        <v>540</v>
      </c>
      <c r="H25" s="211" t="s">
        <v>693</v>
      </c>
      <c r="I25" s="211" t="s">
        <v>626</v>
      </c>
      <c r="J25" s="211"/>
      <c r="K25" s="65" t="s">
        <v>540</v>
      </c>
      <c r="L25" s="206" t="s">
        <v>582</v>
      </c>
      <c r="M25" s="212"/>
      <c r="N25" s="208"/>
      <c r="O25" s="209">
        <v>2</v>
      </c>
      <c r="P25" s="210" t="s">
        <v>604</v>
      </c>
      <c r="R25" s="159"/>
      <c r="S25" s="159"/>
      <c r="T25" s="160"/>
      <c r="U25" s="160"/>
      <c r="V25" s="169"/>
      <c r="W25" s="161"/>
    </row>
    <row r="26" spans="1:23" ht="30">
      <c r="A26" s="64" t="s">
        <v>541</v>
      </c>
      <c r="B26" s="206"/>
      <c r="C26" s="207"/>
      <c r="D26" s="208"/>
      <c r="E26" s="209"/>
      <c r="F26" s="210"/>
      <c r="G26" s="117" t="s">
        <v>541</v>
      </c>
      <c r="H26" s="211" t="s">
        <v>693</v>
      </c>
      <c r="I26" s="211" t="s">
        <v>627</v>
      </c>
      <c r="J26" s="211"/>
      <c r="K26" s="65" t="s">
        <v>541</v>
      </c>
      <c r="L26" s="206" t="s">
        <v>583</v>
      </c>
      <c r="M26" s="212"/>
      <c r="N26" s="208"/>
      <c r="O26" s="209">
        <v>7</v>
      </c>
      <c r="P26" s="210" t="s">
        <v>604</v>
      </c>
      <c r="R26" s="159"/>
      <c r="S26" s="159"/>
      <c r="T26" s="160"/>
      <c r="U26" s="160"/>
      <c r="V26" s="169"/>
      <c r="W26" s="161"/>
    </row>
    <row r="27" spans="1:23" ht="45">
      <c r="A27" s="64" t="s">
        <v>542</v>
      </c>
      <c r="B27" s="214"/>
      <c r="C27" s="215"/>
      <c r="D27" s="216"/>
      <c r="E27" s="209"/>
      <c r="F27" s="210"/>
      <c r="G27" s="117" t="s">
        <v>542</v>
      </c>
      <c r="H27" s="211" t="s">
        <v>693</v>
      </c>
      <c r="I27" s="211" t="s">
        <v>628</v>
      </c>
      <c r="J27" s="211"/>
      <c r="K27" s="65" t="s">
        <v>542</v>
      </c>
      <c r="L27" s="206" t="s">
        <v>584</v>
      </c>
      <c r="M27" s="212"/>
      <c r="N27" s="208"/>
      <c r="O27" s="209">
        <v>2</v>
      </c>
      <c r="P27" s="210" t="s">
        <v>604</v>
      </c>
      <c r="R27" s="159"/>
      <c r="S27" s="159"/>
      <c r="T27" s="160"/>
      <c r="U27" s="160"/>
      <c r="V27" s="169"/>
      <c r="W27" s="161"/>
    </row>
    <row r="28" spans="1:23" ht="30">
      <c r="A28" s="64" t="s">
        <v>543</v>
      </c>
      <c r="B28" s="214"/>
      <c r="C28" s="215"/>
      <c r="D28" s="216"/>
      <c r="E28" s="209"/>
      <c r="F28" s="210"/>
      <c r="G28" s="117" t="s">
        <v>543</v>
      </c>
      <c r="H28" s="211" t="s">
        <v>693</v>
      </c>
      <c r="I28" s="211" t="s">
        <v>629</v>
      </c>
      <c r="J28" s="211"/>
      <c r="K28" s="65" t="s">
        <v>543</v>
      </c>
      <c r="L28" s="206" t="s">
        <v>585</v>
      </c>
      <c r="M28" s="212"/>
      <c r="N28" s="208"/>
      <c r="O28" s="209">
        <v>7</v>
      </c>
      <c r="P28" s="210" t="s">
        <v>604</v>
      </c>
      <c r="R28" s="159"/>
      <c r="S28" s="159"/>
      <c r="T28" s="160"/>
      <c r="U28" s="160"/>
      <c r="V28" s="169"/>
      <c r="W28" s="161"/>
    </row>
    <row r="29" spans="1:23" ht="45">
      <c r="A29" s="64" t="s">
        <v>544</v>
      </c>
      <c r="B29" s="214"/>
      <c r="C29" s="215"/>
      <c r="D29" s="216"/>
      <c r="E29" s="209"/>
      <c r="F29" s="210"/>
      <c r="G29" s="117" t="s">
        <v>544</v>
      </c>
      <c r="H29" s="211" t="s">
        <v>693</v>
      </c>
      <c r="I29" s="211" t="s">
        <v>630</v>
      </c>
      <c r="J29" s="211"/>
      <c r="K29" s="65" t="s">
        <v>544</v>
      </c>
      <c r="L29" s="206" t="s">
        <v>586</v>
      </c>
      <c r="M29" s="212"/>
      <c r="N29" s="208"/>
      <c r="O29" s="209">
        <v>2</v>
      </c>
      <c r="P29" s="210" t="s">
        <v>604</v>
      </c>
      <c r="R29" s="159"/>
      <c r="S29" s="159"/>
      <c r="T29" s="160"/>
      <c r="U29" s="160"/>
      <c r="V29" s="169"/>
      <c r="W29" s="161"/>
    </row>
    <row r="30" spans="1:23" ht="30">
      <c r="A30" s="64" t="s">
        <v>545</v>
      </c>
      <c r="B30" s="206"/>
      <c r="C30" s="207"/>
      <c r="D30" s="208"/>
      <c r="E30" s="209"/>
      <c r="F30" s="210"/>
      <c r="G30" s="117" t="s">
        <v>545</v>
      </c>
      <c r="H30" s="211" t="s">
        <v>693</v>
      </c>
      <c r="I30" s="211" t="s">
        <v>631</v>
      </c>
      <c r="J30" s="211"/>
      <c r="K30" s="65" t="s">
        <v>545</v>
      </c>
      <c r="L30" s="206" t="s">
        <v>587</v>
      </c>
      <c r="M30" s="212"/>
      <c r="N30" s="208"/>
      <c r="O30" s="209">
        <v>7</v>
      </c>
      <c r="P30" s="210" t="s">
        <v>604</v>
      </c>
      <c r="R30" s="159"/>
      <c r="S30" s="159"/>
      <c r="T30" s="160"/>
      <c r="U30" s="160"/>
      <c r="V30" s="169"/>
      <c r="W30" s="161"/>
    </row>
    <row r="31" spans="1:23" ht="45">
      <c r="A31" s="64" t="s">
        <v>546</v>
      </c>
      <c r="B31" s="206"/>
      <c r="C31" s="207"/>
      <c r="D31" s="208"/>
      <c r="E31" s="209"/>
      <c r="F31" s="210"/>
      <c r="G31" s="117" t="s">
        <v>546</v>
      </c>
      <c r="H31" s="211" t="s">
        <v>693</v>
      </c>
      <c r="I31" s="211" t="s">
        <v>632</v>
      </c>
      <c r="J31" s="211"/>
      <c r="K31" s="65" t="s">
        <v>546</v>
      </c>
      <c r="L31" s="206" t="s">
        <v>588</v>
      </c>
      <c r="M31" s="212"/>
      <c r="N31" s="208"/>
      <c r="O31" s="209">
        <v>2</v>
      </c>
      <c r="P31" s="210" t="s">
        <v>604</v>
      </c>
      <c r="R31" s="159"/>
      <c r="S31" s="159"/>
      <c r="T31" s="160"/>
      <c r="U31" s="160"/>
      <c r="V31" s="170"/>
      <c r="W31" s="161"/>
    </row>
    <row r="32" spans="1:23" ht="30">
      <c r="A32" s="64" t="s">
        <v>547</v>
      </c>
      <c r="B32" s="206"/>
      <c r="C32" s="207"/>
      <c r="D32" s="208"/>
      <c r="E32" s="209"/>
      <c r="F32" s="210"/>
      <c r="G32" s="117" t="s">
        <v>547</v>
      </c>
      <c r="H32" s="211" t="s">
        <v>693</v>
      </c>
      <c r="I32" s="211" t="s">
        <v>633</v>
      </c>
      <c r="J32" s="211"/>
      <c r="K32" s="65" t="s">
        <v>547</v>
      </c>
      <c r="L32" s="206" t="s">
        <v>589</v>
      </c>
      <c r="M32" s="212"/>
      <c r="N32" s="208"/>
      <c r="O32" s="209">
        <v>7</v>
      </c>
      <c r="P32" s="210" t="s">
        <v>604</v>
      </c>
      <c r="R32" s="159"/>
      <c r="S32" s="159"/>
      <c r="T32" s="160"/>
      <c r="U32" s="160"/>
      <c r="V32" s="170"/>
      <c r="W32" s="161"/>
    </row>
    <row r="33" spans="1:23" ht="45">
      <c r="A33" s="64" t="s">
        <v>548</v>
      </c>
      <c r="B33" s="206"/>
      <c r="C33" s="207"/>
      <c r="D33" s="208"/>
      <c r="E33" s="209"/>
      <c r="F33" s="210"/>
      <c r="G33" s="117" t="s">
        <v>548</v>
      </c>
      <c r="H33" s="211" t="s">
        <v>656</v>
      </c>
      <c r="I33" s="211" t="s">
        <v>634</v>
      </c>
      <c r="J33" s="211" t="s">
        <v>615</v>
      </c>
      <c r="K33" s="65" t="s">
        <v>548</v>
      </c>
      <c r="L33" s="206" t="s">
        <v>590</v>
      </c>
      <c r="M33" s="212"/>
      <c r="N33" s="208"/>
      <c r="O33" s="209">
        <v>10</v>
      </c>
      <c r="P33" s="210" t="s">
        <v>604</v>
      </c>
      <c r="R33" s="159"/>
      <c r="S33" s="159"/>
      <c r="T33" s="160"/>
      <c r="U33" s="160"/>
      <c r="V33" s="170"/>
      <c r="W33" s="161"/>
    </row>
    <row r="34" spans="1:23" ht="60">
      <c r="A34" s="64" t="s">
        <v>549</v>
      </c>
      <c r="B34" s="206"/>
      <c r="C34" s="207"/>
      <c r="D34" s="208"/>
      <c r="E34" s="209"/>
      <c r="F34" s="210"/>
      <c r="G34" s="117" t="s">
        <v>549</v>
      </c>
      <c r="H34" s="211" t="s">
        <v>657</v>
      </c>
      <c r="I34" s="211" t="s">
        <v>635</v>
      </c>
      <c r="J34" s="211" t="s">
        <v>615</v>
      </c>
      <c r="K34" s="65" t="s">
        <v>549</v>
      </c>
      <c r="L34" s="206" t="s">
        <v>591</v>
      </c>
      <c r="M34" s="212"/>
      <c r="N34" s="208"/>
      <c r="O34" s="209">
        <v>3</v>
      </c>
      <c r="P34" s="210" t="s">
        <v>604</v>
      </c>
      <c r="R34" s="159"/>
      <c r="S34" s="159"/>
      <c r="T34" s="160"/>
      <c r="U34" s="160"/>
      <c r="V34" s="170"/>
      <c r="W34" s="161"/>
    </row>
    <row r="35" spans="1:23" ht="30">
      <c r="A35" s="64" t="s">
        <v>550</v>
      </c>
      <c r="B35" s="206"/>
      <c r="C35" s="207"/>
      <c r="D35" s="208"/>
      <c r="E35" s="209"/>
      <c r="F35" s="210"/>
      <c r="G35" s="117" t="s">
        <v>550</v>
      </c>
      <c r="H35" s="211" t="s">
        <v>656</v>
      </c>
      <c r="I35" s="211" t="s">
        <v>636</v>
      </c>
      <c r="J35" s="211"/>
      <c r="K35" s="65" t="s">
        <v>550</v>
      </c>
      <c r="L35" s="206" t="s">
        <v>592</v>
      </c>
      <c r="M35" s="212"/>
      <c r="N35" s="208"/>
      <c r="O35" s="209">
        <v>10</v>
      </c>
      <c r="P35" s="210" t="s">
        <v>604</v>
      </c>
      <c r="R35" s="159"/>
      <c r="S35" s="159"/>
      <c r="T35" s="160"/>
      <c r="U35" s="160"/>
      <c r="V35" s="170"/>
      <c r="W35" s="161"/>
    </row>
    <row r="36" spans="1:23" ht="30">
      <c r="A36" s="64" t="s">
        <v>551</v>
      </c>
      <c r="B36" s="206"/>
      <c r="C36" s="207"/>
      <c r="D36" s="208"/>
      <c r="E36" s="209"/>
      <c r="F36" s="210"/>
      <c r="G36" s="117" t="s">
        <v>551</v>
      </c>
      <c r="H36" s="211" t="s">
        <v>657</v>
      </c>
      <c r="I36" s="211" t="s">
        <v>637</v>
      </c>
      <c r="J36" s="211"/>
      <c r="K36" s="65" t="s">
        <v>551</v>
      </c>
      <c r="L36" s="206" t="s">
        <v>593</v>
      </c>
      <c r="M36" s="212"/>
      <c r="N36" s="208"/>
      <c r="O36" s="209">
        <v>3</v>
      </c>
      <c r="P36" s="210" t="s">
        <v>604</v>
      </c>
      <c r="R36" s="159"/>
      <c r="S36" s="159"/>
      <c r="T36" s="160"/>
      <c r="U36" s="160"/>
      <c r="V36" s="170"/>
      <c r="W36" s="161"/>
    </row>
    <row r="37" spans="1:23" ht="30">
      <c r="A37" s="64" t="s">
        <v>552</v>
      </c>
      <c r="B37" s="206"/>
      <c r="C37" s="207"/>
      <c r="D37" s="208"/>
      <c r="E37" s="209"/>
      <c r="F37" s="210"/>
      <c r="G37" s="117" t="s">
        <v>552</v>
      </c>
      <c r="H37" s="211" t="s">
        <v>656</v>
      </c>
      <c r="I37" s="211" t="s">
        <v>636</v>
      </c>
      <c r="J37" s="211"/>
      <c r="K37" s="65" t="s">
        <v>552</v>
      </c>
      <c r="L37" s="206" t="s">
        <v>594</v>
      </c>
      <c r="M37" s="212"/>
      <c r="N37" s="208"/>
      <c r="O37" s="209">
        <v>10</v>
      </c>
      <c r="P37" s="210" t="s">
        <v>604</v>
      </c>
      <c r="R37" s="159"/>
      <c r="S37" s="159"/>
      <c r="T37" s="160"/>
      <c r="U37" s="160"/>
      <c r="V37" s="170"/>
      <c r="W37" s="161"/>
    </row>
    <row r="38" spans="1:23" ht="30">
      <c r="A38" s="64" t="s">
        <v>553</v>
      </c>
      <c r="B38" s="206"/>
      <c r="C38" s="207"/>
      <c r="D38" s="208"/>
      <c r="E38" s="209"/>
      <c r="F38" s="210"/>
      <c r="G38" s="117" t="s">
        <v>553</v>
      </c>
      <c r="H38" s="211" t="s">
        <v>657</v>
      </c>
      <c r="I38" s="211" t="s">
        <v>637</v>
      </c>
      <c r="J38" s="211"/>
      <c r="K38" s="65" t="s">
        <v>553</v>
      </c>
      <c r="L38" s="206" t="s">
        <v>595</v>
      </c>
      <c r="M38" s="212"/>
      <c r="N38" s="208"/>
      <c r="O38" s="209">
        <v>3</v>
      </c>
      <c r="P38" s="210" t="s">
        <v>604</v>
      </c>
      <c r="R38" s="159"/>
      <c r="S38" s="159"/>
      <c r="T38" s="160"/>
      <c r="U38" s="160"/>
      <c r="V38" s="170"/>
      <c r="W38" s="161"/>
    </row>
    <row r="39" spans="1:23" ht="30">
      <c r="A39" s="64" t="s">
        <v>554</v>
      </c>
      <c r="B39" s="206"/>
      <c r="C39" s="207"/>
      <c r="D39" s="208"/>
      <c r="E39" s="209"/>
      <c r="F39" s="210"/>
      <c r="G39" s="117" t="s">
        <v>554</v>
      </c>
      <c r="H39" s="211" t="s">
        <v>656</v>
      </c>
      <c r="I39" s="211" t="s">
        <v>636</v>
      </c>
      <c r="J39" s="211"/>
      <c r="K39" s="65" t="s">
        <v>554</v>
      </c>
      <c r="L39" s="206" t="s">
        <v>596</v>
      </c>
      <c r="M39" s="212"/>
      <c r="N39" s="208"/>
      <c r="O39" s="209">
        <v>10</v>
      </c>
      <c r="P39" s="210" t="s">
        <v>604</v>
      </c>
      <c r="R39" s="159"/>
      <c r="S39" s="159"/>
      <c r="T39" s="160"/>
      <c r="U39" s="160"/>
      <c r="V39" s="170"/>
      <c r="W39" s="161"/>
    </row>
    <row r="40" spans="1:23" ht="30">
      <c r="A40" s="64" t="s">
        <v>555</v>
      </c>
      <c r="B40" s="206"/>
      <c r="C40" s="207"/>
      <c r="D40" s="208"/>
      <c r="E40" s="209"/>
      <c r="F40" s="210"/>
      <c r="G40" s="117" t="s">
        <v>555</v>
      </c>
      <c r="H40" s="211" t="s">
        <v>657</v>
      </c>
      <c r="I40" s="211" t="s">
        <v>637</v>
      </c>
      <c r="J40" s="211"/>
      <c r="K40" s="65" t="s">
        <v>555</v>
      </c>
      <c r="L40" s="206" t="s">
        <v>597</v>
      </c>
      <c r="M40" s="212"/>
      <c r="N40" s="208"/>
      <c r="O40" s="209">
        <v>3</v>
      </c>
      <c r="P40" s="210" t="s">
        <v>604</v>
      </c>
      <c r="R40" s="159"/>
      <c r="S40" s="159"/>
      <c r="T40" s="160"/>
      <c r="U40" s="160"/>
      <c r="V40" s="170"/>
      <c r="W40" s="161"/>
    </row>
    <row r="41" spans="1:23" ht="30">
      <c r="A41" s="64" t="s">
        <v>556</v>
      </c>
      <c r="B41" s="214"/>
      <c r="C41" s="215"/>
      <c r="D41" s="216"/>
      <c r="E41" s="209"/>
      <c r="F41" s="210"/>
      <c r="G41" s="213" t="s">
        <v>556</v>
      </c>
      <c r="H41" s="211" t="s">
        <v>656</v>
      </c>
      <c r="I41" s="211" t="s">
        <v>636</v>
      </c>
      <c r="J41" s="211"/>
      <c r="K41" s="65" t="s">
        <v>556</v>
      </c>
      <c r="L41" s="206" t="s">
        <v>598</v>
      </c>
      <c r="M41" s="212"/>
      <c r="N41" s="208"/>
      <c r="O41" s="209">
        <v>10</v>
      </c>
      <c r="P41" s="210" t="s">
        <v>604</v>
      </c>
      <c r="R41" s="159"/>
      <c r="S41" s="159"/>
      <c r="T41" s="160"/>
      <c r="U41" s="160"/>
      <c r="V41" s="170"/>
      <c r="W41" s="161"/>
    </row>
    <row r="42" spans="1:23" ht="30">
      <c r="A42" s="64" t="s">
        <v>557</v>
      </c>
      <c r="B42" s="206"/>
      <c r="C42" s="207"/>
      <c r="D42" s="208"/>
      <c r="E42" s="209"/>
      <c r="F42" s="210"/>
      <c r="G42" s="117" t="s">
        <v>557</v>
      </c>
      <c r="H42" s="211" t="s">
        <v>657</v>
      </c>
      <c r="I42" s="211" t="s">
        <v>637</v>
      </c>
      <c r="J42" s="211"/>
      <c r="K42" s="65" t="s">
        <v>557</v>
      </c>
      <c r="L42" s="206" t="s">
        <v>599</v>
      </c>
      <c r="M42" s="212"/>
      <c r="N42" s="208"/>
      <c r="O42" s="209">
        <v>3</v>
      </c>
      <c r="P42" s="210" t="s">
        <v>604</v>
      </c>
      <c r="R42" s="159"/>
      <c r="S42" s="159"/>
      <c r="T42" s="160"/>
      <c r="U42" s="160"/>
      <c r="V42" s="170"/>
      <c r="W42" s="161"/>
    </row>
    <row r="43" spans="1:23" ht="45">
      <c r="A43" s="64" t="s">
        <v>558</v>
      </c>
      <c r="B43" s="206"/>
      <c r="C43" s="207"/>
      <c r="D43" s="208"/>
      <c r="E43" s="209"/>
      <c r="F43" s="210"/>
      <c r="G43" s="117" t="s">
        <v>558</v>
      </c>
      <c r="H43" s="211" t="s">
        <v>656</v>
      </c>
      <c r="I43" s="211" t="s">
        <v>638</v>
      </c>
      <c r="J43" s="211"/>
      <c r="K43" s="65" t="s">
        <v>558</v>
      </c>
      <c r="L43" s="206" t="s">
        <v>600</v>
      </c>
      <c r="M43" s="212"/>
      <c r="N43" s="208"/>
      <c r="O43" s="209">
        <v>10</v>
      </c>
      <c r="P43" s="210" t="s">
        <v>604</v>
      </c>
      <c r="R43" s="159"/>
      <c r="S43" s="159"/>
      <c r="T43" s="160"/>
      <c r="U43" s="160"/>
      <c r="V43" s="170"/>
      <c r="W43" s="161"/>
    </row>
    <row r="44" spans="1:23" ht="45">
      <c r="A44" s="64" t="s">
        <v>559</v>
      </c>
      <c r="B44" s="206"/>
      <c r="C44" s="207"/>
      <c r="D44" s="208"/>
      <c r="E44" s="209"/>
      <c r="F44" s="210"/>
      <c r="G44" s="117" t="s">
        <v>559</v>
      </c>
      <c r="H44" s="211" t="s">
        <v>657</v>
      </c>
      <c r="I44" s="211" t="s">
        <v>639</v>
      </c>
      <c r="J44" s="211"/>
      <c r="K44" s="65" t="s">
        <v>559</v>
      </c>
      <c r="L44" s="206" t="s">
        <v>601</v>
      </c>
      <c r="M44" s="212"/>
      <c r="N44" s="208"/>
      <c r="O44" s="209">
        <v>3</v>
      </c>
      <c r="P44" s="210" t="s">
        <v>604</v>
      </c>
      <c r="R44" s="159"/>
      <c r="S44" s="159"/>
      <c r="T44" s="160"/>
      <c r="U44" s="160"/>
      <c r="V44" s="170"/>
      <c r="W44" s="161"/>
    </row>
    <row r="45" spans="1:23" ht="90">
      <c r="A45" s="64" t="s">
        <v>560</v>
      </c>
      <c r="B45" s="206" t="s">
        <v>661</v>
      </c>
      <c r="C45" s="207" t="s">
        <v>659</v>
      </c>
      <c r="D45" s="208" t="s">
        <v>660</v>
      </c>
      <c r="E45" s="209"/>
      <c r="F45" s="210"/>
      <c r="G45" s="117" t="s">
        <v>560</v>
      </c>
      <c r="H45" s="211" t="s">
        <v>658</v>
      </c>
      <c r="I45" s="211" t="s">
        <v>640</v>
      </c>
      <c r="J45" s="211"/>
      <c r="K45" s="65" t="s">
        <v>560</v>
      </c>
      <c r="L45" s="206" t="s">
        <v>602</v>
      </c>
      <c r="M45" s="212"/>
      <c r="N45" s="208"/>
      <c r="O45" s="209">
        <v>1</v>
      </c>
      <c r="P45" s="210" t="s">
        <v>604</v>
      </c>
      <c r="R45" s="159"/>
      <c r="S45" s="159"/>
      <c r="T45" s="160"/>
      <c r="U45" s="160"/>
      <c r="V45" s="170"/>
      <c r="W45" s="161"/>
    </row>
    <row r="46" spans="1:23">
      <c r="A46" s="64" t="s">
        <v>561</v>
      </c>
      <c r="B46" s="206"/>
      <c r="C46" s="207"/>
      <c r="D46" s="208"/>
      <c r="E46" s="209"/>
      <c r="F46" s="210"/>
      <c r="G46" s="117" t="s">
        <v>561</v>
      </c>
      <c r="H46" s="211" t="s">
        <v>643</v>
      </c>
      <c r="I46" s="211" t="s">
        <v>641</v>
      </c>
      <c r="J46" s="211"/>
      <c r="K46" s="65" t="s">
        <v>561</v>
      </c>
      <c r="L46" s="206" t="s">
        <v>603</v>
      </c>
      <c r="M46" s="212"/>
      <c r="N46" s="208"/>
      <c r="O46" s="209">
        <v>38</v>
      </c>
      <c r="P46" s="210" t="s">
        <v>604</v>
      </c>
      <c r="R46" s="159"/>
      <c r="S46" s="159"/>
      <c r="T46" s="160"/>
      <c r="U46" s="160"/>
      <c r="V46" s="170"/>
      <c r="W46" s="161"/>
    </row>
    <row r="47" spans="1:23">
      <c r="A47" s="64"/>
      <c r="B47" s="206"/>
      <c r="C47" s="207"/>
      <c r="D47" s="208"/>
      <c r="E47" s="209"/>
      <c r="F47" s="210"/>
      <c r="G47" s="117"/>
      <c r="H47" s="211"/>
      <c r="I47" s="211"/>
      <c r="J47" s="211"/>
      <c r="K47" s="65"/>
      <c r="L47" s="206"/>
      <c r="M47" s="212"/>
      <c r="N47" s="208"/>
      <c r="O47" s="209"/>
      <c r="P47" s="210"/>
      <c r="R47" s="159"/>
      <c r="S47" s="159"/>
      <c r="T47" s="160"/>
      <c r="U47" s="160"/>
      <c r="V47" s="170"/>
      <c r="W47" s="161"/>
    </row>
    <row r="48" spans="1:23">
      <c r="A48" s="64"/>
      <c r="B48" s="206"/>
      <c r="C48" s="207"/>
      <c r="D48" s="208"/>
      <c r="E48" s="209"/>
      <c r="F48" s="210"/>
      <c r="G48" s="117"/>
      <c r="H48" s="211"/>
      <c r="I48" s="211"/>
      <c r="J48" s="211"/>
      <c r="K48" s="65"/>
      <c r="L48" s="206"/>
      <c r="M48" s="212"/>
      <c r="N48" s="208"/>
      <c r="O48" s="209"/>
      <c r="P48" s="210"/>
      <c r="R48" s="159"/>
      <c r="S48" s="159"/>
      <c r="T48" s="160"/>
      <c r="U48" s="160"/>
      <c r="V48" s="170"/>
      <c r="W48" s="161"/>
    </row>
    <row r="49" spans="1:23">
      <c r="A49" s="64"/>
      <c r="B49" s="206"/>
      <c r="C49" s="207"/>
      <c r="D49" s="208"/>
      <c r="E49" s="209"/>
      <c r="F49" s="210"/>
      <c r="G49" s="117"/>
      <c r="H49" s="211"/>
      <c r="I49" s="211"/>
      <c r="J49" s="211"/>
      <c r="K49" s="65"/>
      <c r="L49" s="206"/>
      <c r="M49" s="212"/>
      <c r="N49" s="208"/>
      <c r="O49" s="209"/>
      <c r="P49" s="210"/>
      <c r="R49" s="159"/>
      <c r="S49" s="159"/>
      <c r="T49" s="160"/>
      <c r="U49" s="160"/>
      <c r="V49" s="170"/>
      <c r="W49" s="161"/>
    </row>
    <row r="50" spans="1:23">
      <c r="A50" s="64"/>
      <c r="B50" s="206"/>
      <c r="C50" s="207"/>
      <c r="D50" s="208"/>
      <c r="E50" s="209"/>
      <c r="F50" s="210"/>
      <c r="G50" s="117"/>
      <c r="H50" s="211"/>
      <c r="I50" s="211"/>
      <c r="J50" s="211"/>
      <c r="K50" s="65"/>
      <c r="L50" s="206"/>
      <c r="M50" s="212"/>
      <c r="N50" s="208"/>
      <c r="O50" s="209"/>
      <c r="P50" s="210"/>
      <c r="R50" s="159"/>
      <c r="S50" s="159"/>
      <c r="T50" s="160"/>
      <c r="U50" s="160"/>
      <c r="V50" s="170"/>
      <c r="W50" s="161"/>
    </row>
    <row r="51" spans="1:23" ht="15.5" thickBot="1">
      <c r="A51" s="70"/>
      <c r="B51" s="118"/>
      <c r="C51" s="204"/>
      <c r="D51" s="119"/>
      <c r="E51" s="120"/>
      <c r="F51" s="121"/>
      <c r="G51" s="122"/>
      <c r="H51" s="78"/>
      <c r="I51" s="205"/>
      <c r="J51" s="205"/>
      <c r="K51" s="122"/>
      <c r="L51" s="118"/>
      <c r="M51" s="203"/>
      <c r="N51" s="119"/>
      <c r="O51" s="120"/>
      <c r="P51" s="121"/>
      <c r="R51" s="166"/>
      <c r="S51" s="166"/>
      <c r="T51" s="167"/>
      <c r="U51" s="167"/>
      <c r="V51" s="171"/>
      <c r="W51" s="168"/>
    </row>
  </sheetData>
  <mergeCells count="16">
    <mergeCell ref="A5:F5"/>
    <mergeCell ref="H5:H6"/>
    <mergeCell ref="K5:P5"/>
    <mergeCell ref="A1:B1"/>
    <mergeCell ref="C1:E1"/>
    <mergeCell ref="A2:B2"/>
    <mergeCell ref="C2:E2"/>
    <mergeCell ref="A4:F4"/>
    <mergeCell ref="G4:G6"/>
    <mergeCell ref="J5:J6"/>
    <mergeCell ref="I5:I6"/>
    <mergeCell ref="R4:W4"/>
    <mergeCell ref="R5:T5"/>
    <mergeCell ref="U5:V5"/>
    <mergeCell ref="W5:W6"/>
    <mergeCell ref="K4:P4"/>
  </mergeCells>
  <phoneticPr fontId="1"/>
  <conditionalFormatting sqref="C7:C50">
    <cfRule type="expression" dxfId="44" priority="1">
      <formula>$A7=#REF!</formula>
    </cfRule>
  </conditionalFormatting>
  <conditionalFormatting sqref="C27:C29">
    <cfRule type="expression" dxfId="43" priority="9">
      <formula>$A29=#REF!</formula>
    </cfRule>
  </conditionalFormatting>
  <conditionalFormatting sqref="V7:V51">
    <cfRule type="cellIs" dxfId="42" priority="15" operator="equal">
      <formula>"3.検討中"</formula>
    </cfRule>
    <cfRule type="cellIs" dxfId="41" priority="16" operator="equal">
      <formula>"2.KICで保持するが完全再現不可"</formula>
    </cfRule>
    <cfRule type="cellIs" dxfId="40" priority="17" operator="equal">
      <formula>"1.KICで保持しない"</formula>
    </cfRule>
  </conditionalFormatting>
  <dataValidations count="6">
    <dataValidation type="list" allowBlank="1" showInputMessage="1" showErrorMessage="1" sqref="F4:F5 F52:F1048576 P4:P5 P52: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P7:P51 F7:F51" xr:uid="{5683E7DE-F4C0-4EF7-8DDE-FB201BCB4178}">
      <formula1>項目属性</formula1>
    </dataValidation>
    <dataValidation type="list" allowBlank="1" showInputMessage="1" sqref="R7:S51" xr:uid="{321993D0-0FB3-4C20-A47D-044043BADDAF}">
      <formula1>"変更あり"</formula1>
    </dataValidation>
    <dataValidation allowBlank="1" showInputMessage="1" sqref="T7:T51 W7:W51" xr:uid="{0BB645D3-0843-42A7-ADC9-B62ECA51FC6D}"/>
    <dataValidation type="list" allowBlank="1" showInputMessage="1" showErrorMessage="1" sqref="V7:V51"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523</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523</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09"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09"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0" t="s">
        <v>109</v>
      </c>
      <c r="D23" s="220"/>
      <c r="E23" s="220"/>
      <c r="F23" s="220"/>
      <c r="G23" s="220"/>
      <c r="H23" s="220"/>
      <c r="I23" s="220"/>
      <c r="J23" s="220" t="s">
        <v>151</v>
      </c>
      <c r="K23" s="220"/>
      <c r="L23" s="220"/>
      <c r="M23" s="220"/>
      <c r="N23" s="220"/>
      <c r="O23" s="220"/>
      <c r="P23" s="220"/>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4" t="s">
        <v>51</v>
      </c>
      <c r="I45" s="225"/>
      <c r="J45" s="225"/>
      <c r="K45" s="225"/>
      <c r="L45" s="226"/>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49"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49"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09"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09"/>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09"/>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09"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09"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09"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09"/>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09"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09"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09"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09"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09"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09"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176</v>
      </c>
      <c r="K22" s="220"/>
      <c r="L22" s="220"/>
      <c r="M22" s="220"/>
      <c r="N22" s="220"/>
      <c r="O22" s="220"/>
      <c r="P22" s="220"/>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08"/>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49"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09"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09"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09"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09"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09"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09"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09"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09"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09"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09"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09"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09"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0" t="s">
        <v>109</v>
      </c>
      <c r="D22" s="220"/>
      <c r="E22" s="220"/>
      <c r="F22" s="220"/>
      <c r="G22" s="220"/>
      <c r="H22" s="220"/>
      <c r="I22" s="220"/>
      <c r="J22" s="220" t="s">
        <v>151</v>
      </c>
      <c r="K22" s="220"/>
      <c r="L22" s="220"/>
      <c r="M22" s="220"/>
      <c r="N22" s="220"/>
      <c r="O22" s="220"/>
      <c r="P22" s="220"/>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08"/>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08"/>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5" customHeight="1">
      <c r="B33" s="108"/>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49"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09"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09"/>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09"/>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49"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49"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09"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09"/>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09"/>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09"/>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08"/>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08"/>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08"/>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08"/>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5" customHeight="1">
      <c r="B31" s="108"/>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49"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09"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09"/>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49"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09"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09"/>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09"/>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09"/>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09"/>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0" t="s">
        <v>216</v>
      </c>
      <c r="D17" s="220"/>
      <c r="E17" s="220"/>
      <c r="F17" s="220"/>
      <c r="G17" s="220"/>
      <c r="H17" s="220"/>
      <c r="I17" s="220"/>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0" t="s">
        <v>153</v>
      </c>
      <c r="D18" s="220"/>
      <c r="E18" s="220"/>
      <c r="F18" s="220"/>
      <c r="G18" s="220"/>
      <c r="H18" s="220"/>
      <c r="I18" s="220"/>
      <c r="J18" s="220" t="s">
        <v>164</v>
      </c>
      <c r="K18" s="220"/>
      <c r="L18" s="220"/>
      <c r="M18" s="220"/>
      <c r="N18" s="220"/>
      <c r="O18" s="220"/>
      <c r="P18" s="220"/>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09"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09"/>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09"/>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09"/>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09"/>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1"/>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3"/>
    </row>
    <row r="24" spans="1:62" ht="17.25" customHeight="1">
      <c r="A24" s="15"/>
      <c r="B24" s="16"/>
      <c r="C24" s="220" t="s">
        <v>153</v>
      </c>
      <c r="D24" s="220"/>
      <c r="E24" s="220"/>
      <c r="F24" s="220"/>
      <c r="G24" s="220"/>
      <c r="H24" s="220"/>
      <c r="I24" s="220"/>
      <c r="J24" s="220" t="s">
        <v>164</v>
      </c>
      <c r="K24" s="220"/>
      <c r="L24" s="220"/>
      <c r="M24" s="220"/>
      <c r="N24" s="220"/>
      <c r="O24" s="220"/>
      <c r="P24" s="220"/>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09"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09"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09"/>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09"/>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09"/>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09"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09"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09"/>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09"/>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09"/>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08"/>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08"/>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08"/>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4" t="s">
        <v>51</v>
      </c>
      <c r="I46" s="225"/>
      <c r="J46" s="225"/>
      <c r="K46" s="225"/>
      <c r="L46" s="226"/>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09"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09"/>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09"/>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08"/>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4" t="s">
        <v>387</v>
      </c>
      <c r="I54" s="225"/>
      <c r="J54" s="225"/>
      <c r="K54" s="225"/>
      <c r="L54" s="22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09"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09"/>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09"/>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0" t="s">
        <v>109</v>
      </c>
      <c r="D27" s="220"/>
      <c r="E27" s="220"/>
      <c r="F27" s="220"/>
      <c r="G27" s="220"/>
      <c r="H27" s="220"/>
      <c r="I27" s="220"/>
      <c r="J27" s="220" t="s">
        <v>176</v>
      </c>
      <c r="K27" s="220"/>
      <c r="L27" s="220"/>
      <c r="M27" s="220"/>
      <c r="N27" s="220"/>
      <c r="O27" s="220"/>
      <c r="P27" s="220"/>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08"/>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08"/>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4" t="s">
        <v>51</v>
      </c>
      <c r="I49" s="225"/>
      <c r="J49" s="225"/>
      <c r="K49" s="225"/>
      <c r="L49" s="226"/>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09"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09"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09"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09"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09"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09"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49"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09"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09"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09"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09"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09"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09"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09"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08"/>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08"/>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08"/>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08"/>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09"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09"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09"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09"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09"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09"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49"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09"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09"/>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09"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09"/>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08"/>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08"/>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08"/>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4" t="s">
        <v>51</v>
      </c>
      <c r="I44" s="225"/>
      <c r="J44" s="225"/>
      <c r="K44" s="225"/>
      <c r="L44" s="226"/>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09"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09"/>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2"/>
      <c r="D57" s="234"/>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7" t="s">
        <v>17</v>
      </c>
      <c r="B1" s="228"/>
      <c r="C1" s="228"/>
      <c r="D1" s="228"/>
      <c r="E1" s="228"/>
      <c r="F1" s="228"/>
      <c r="G1" s="228"/>
      <c r="H1" s="228"/>
      <c r="I1" s="228"/>
      <c r="J1" s="228"/>
      <c r="K1" s="228"/>
      <c r="L1" s="228"/>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24" t="str">
        <f>IF(表紙!D16&lt;&gt;"",表紙!D16,"")</f>
        <v>IFZ9000016</v>
      </c>
      <c r="B2" s="225"/>
      <c r="C2" s="225"/>
      <c r="D2" s="225"/>
      <c r="E2" s="225"/>
      <c r="F2" s="225"/>
      <c r="G2" s="225"/>
      <c r="H2" s="225"/>
      <c r="I2" s="225"/>
      <c r="J2" s="225"/>
      <c r="K2" s="225"/>
      <c r="L2" s="226"/>
      <c r="M2" s="224" t="str">
        <f>IF(表紙!D17&lt;&gt;"",表紙!D17,"")</f>
        <v>在庫照会連携</v>
      </c>
      <c r="N2" s="225"/>
      <c r="O2" s="225"/>
      <c r="P2" s="225"/>
      <c r="Q2" s="225"/>
      <c r="R2" s="225"/>
      <c r="S2" s="225"/>
      <c r="T2" s="225"/>
      <c r="U2" s="225"/>
      <c r="V2" s="225"/>
      <c r="W2" s="225"/>
      <c r="X2" s="225"/>
      <c r="Y2" s="225"/>
      <c r="Z2" s="225"/>
      <c r="AA2" s="225"/>
      <c r="AB2" s="225"/>
      <c r="AC2" s="225"/>
      <c r="AD2" s="225"/>
      <c r="AE2" s="225"/>
      <c r="AF2" s="225"/>
      <c r="AG2" s="225"/>
      <c r="AH2" s="225"/>
      <c r="AI2" s="225"/>
      <c r="AJ2" s="225"/>
      <c r="AK2" s="226"/>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2"/>
      <c r="W10" s="493"/>
      <c r="X10" s="493"/>
      <c r="Y10" s="493"/>
      <c r="Z10" s="493"/>
      <c r="AA10" s="493"/>
      <c r="AB10" s="493"/>
      <c r="AC10" s="493"/>
      <c r="AD10" s="493"/>
      <c r="AE10" s="493"/>
      <c r="AF10" s="493"/>
      <c r="AG10" s="494"/>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2"/>
      <c r="W11" s="493"/>
      <c r="X11" s="493"/>
      <c r="Y11" s="493"/>
      <c r="Z11" s="493"/>
      <c r="AA11" s="493"/>
      <c r="AB11" s="493"/>
      <c r="AC11" s="493"/>
      <c r="AD11" s="493"/>
      <c r="AE11" s="493"/>
      <c r="AF11" s="493"/>
      <c r="AG11" s="494"/>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2"/>
      <c r="W12" s="493"/>
      <c r="X12" s="493"/>
      <c r="Y12" s="493"/>
      <c r="Z12" s="493"/>
      <c r="AA12" s="493"/>
      <c r="AB12" s="493"/>
      <c r="AC12" s="493"/>
      <c r="AD12" s="493"/>
      <c r="AE12" s="493"/>
      <c r="AF12" s="493"/>
      <c r="AG12" s="494"/>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IFZ9000016</v>
      </c>
      <c r="B2" s="226"/>
      <c r="C2" s="26" t="str">
        <f>IF(表紙!D17&lt;&gt;"",表紙!D17,"")</f>
        <v>在庫照会連携</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5" t="s">
        <v>27</v>
      </c>
      <c r="G1" s="496"/>
      <c r="H1" s="497"/>
      <c r="I1" s="498" t="s">
        <v>26</v>
      </c>
      <c r="J1" s="497"/>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7" sqref="E7"/>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667</v>
      </c>
      <c r="D3" s="79" t="s">
        <v>668</v>
      </c>
      <c r="E3" s="82" t="s">
        <v>669</v>
      </c>
      <c r="F3" s="8" t="s">
        <v>670</v>
      </c>
      <c r="G3" s="6"/>
      <c r="H3" s="6"/>
      <c r="I3" s="6"/>
      <c r="J3" s="7"/>
    </row>
    <row r="4" spans="1:10">
      <c r="A4" s="218" t="s">
        <v>671</v>
      </c>
      <c r="B4" s="5">
        <v>46014</v>
      </c>
      <c r="C4" s="8" t="s">
        <v>672</v>
      </c>
      <c r="D4" s="79" t="s">
        <v>232</v>
      </c>
      <c r="E4" s="82" t="s">
        <v>673</v>
      </c>
      <c r="F4" s="8"/>
      <c r="G4" s="9"/>
      <c r="H4" s="9"/>
      <c r="I4" s="9"/>
      <c r="J4" s="10"/>
    </row>
    <row r="5" spans="1:10">
      <c r="A5" s="218" t="s">
        <v>696</v>
      </c>
      <c r="B5" s="5">
        <v>46049</v>
      </c>
      <c r="C5" s="8" t="s">
        <v>697</v>
      </c>
      <c r="D5" s="219" t="s">
        <v>698</v>
      </c>
      <c r="E5" s="123" t="s">
        <v>699</v>
      </c>
      <c r="F5" s="8"/>
      <c r="G5" s="9"/>
      <c r="H5" s="9"/>
      <c r="I5" s="9"/>
      <c r="J5" s="10"/>
    </row>
    <row r="6" spans="1:10">
      <c r="A6" s="8"/>
      <c r="B6" s="5"/>
      <c r="C6" s="8"/>
      <c r="D6" s="79"/>
      <c r="E6" s="83"/>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2025-12-23T08:30:32Z</dcterms:created>
  <dcterms:modified xsi:type="dcterms:W3CDTF">2026-02-09T05:46:42Z</dcterms:modified>
</cp:coreProperties>
</file>