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S020" sheetId="1" state="visible" r:id="rId1"/>
    <sheet name="1RS020  定義文" sheetId="2" state="visible" r:id="rId2"/>
  </sheets>
  <definedNames/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3">
    <numFmt numFmtId="164" formatCode="00"/>
    <numFmt numFmtId="165" formatCode="0;[RED]0"/>
    <numFmt numFmtId="166" formatCode="0_);[RED]\(0\);&quot;&quot;"/>
  </numFmts>
  <fonts count="13">
    <font>
      <name val="ＭＳ Ｐゴシック"/>
      <charset val="128"/>
      <family val="3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ＭＳ 明朝"/>
      <charset val="128"/>
      <family val="1"/>
      <b val="1"/>
      <sz val="18"/>
    </font>
    <font>
      <name val="ＭＳ Ｐゴシック"/>
      <charset val="128"/>
      <family val="3"/>
      <b val="1"/>
      <sz val="12"/>
    </font>
    <font>
      <name val="ＭＳ 明朝"/>
      <charset val="128"/>
      <family val="1"/>
      <color rgb="FF008000"/>
      <sz val="9"/>
    </font>
    <font>
      <name val="ＭＳ 明朝"/>
      <charset val="128"/>
      <family val="1"/>
      <color rgb="FF008000"/>
      <sz val="8"/>
    </font>
    <font>
      <name val="ＭＳ Ｐゴシック"/>
      <charset val="128"/>
      <family val="3"/>
      <b val="1"/>
      <color rgb="FFFFFFFF"/>
      <sz val="12"/>
    </font>
    <font>
      <name val="ＭＳ 明朝"/>
      <charset val="128"/>
      <family val="1"/>
      <sz val="9"/>
    </font>
    <font>
      <name val="ＭＳ Ｐゴシック"/>
      <charset val="128"/>
      <family val="3"/>
      <b val="1"/>
      <sz val="11"/>
    </font>
    <font>
      <name val="ＭＳ 明朝"/>
      <charset val="128"/>
      <family val="1"/>
      <color rgb="FFFF0000"/>
      <sz val="9"/>
    </font>
    <font>
      <b val="1"/>
    </font>
  </fonts>
  <fills count="8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99CCFF"/>
        <bgColor rgb="FFCCCCFF"/>
      </patternFill>
    </fill>
    <fill>
      <patternFill patternType="solid">
        <fgColor rgb="00CFE2F3"/>
        <bgColor rgb="00CFE2F3"/>
      </patternFill>
    </fill>
    <fill>
      <patternFill patternType="solid">
        <fgColor rgb="00FFF2CC"/>
        <bgColor rgb="00FFF2CC"/>
      </patternFill>
    </fill>
    <fill>
      <patternFill patternType="solid">
        <fgColor rgb="00FCE5CD"/>
        <bgColor rgb="00FCE5CD"/>
      </patternFill>
    </fill>
    <fill>
      <patternFill patternType="solid">
        <fgColor rgb="00D9EAD3"/>
        <bgColor rgb="00D9EAD3"/>
      </patternFill>
    </fill>
  </fills>
  <borders count="56">
    <border>
      <left/>
      <right/>
      <top/>
      <bottom/>
      <diagonal/>
    </border>
    <border>
      <left style="medium">
        <color rgb="FF008000"/>
      </left>
      <right/>
      <top style="medium">
        <color rgb="FF008000"/>
      </top>
      <bottom style="medium">
        <color rgb="FF008000"/>
      </bottom>
      <diagonal/>
    </border>
    <border>
      <left style="thin">
        <color rgb="FF008000"/>
      </left>
      <right style="thin">
        <color rgb="FF008000"/>
      </right>
      <top style="medium">
        <color rgb="FF008000"/>
      </top>
      <bottom style="medium">
        <color rgb="FF008000"/>
      </bottom>
      <diagonal/>
    </border>
    <border>
      <left/>
      <right/>
      <top style="medium">
        <color rgb="FF008000"/>
      </top>
      <bottom style="medium">
        <color rgb="FF008000"/>
      </bottom>
      <diagonal/>
    </border>
    <border>
      <left style="thin">
        <color rgb="FF008000"/>
      </left>
      <right style="dotted">
        <color rgb="FF008000"/>
      </right>
      <top style="medium">
        <color rgb="FF008000"/>
      </top>
      <bottom style="medium">
        <color rgb="FF008000"/>
      </bottom>
      <diagonal/>
    </border>
    <border>
      <left/>
      <right style="thin">
        <color rgb="FF008000"/>
      </right>
      <top style="medium">
        <color rgb="FF008000"/>
      </top>
      <bottom style="medium">
        <color rgb="FF008000"/>
      </bottom>
      <diagonal/>
    </border>
    <border>
      <left style="thin">
        <color rgb="FF008000"/>
      </left>
      <right/>
      <top style="medium">
        <color rgb="FF008000"/>
      </top>
      <bottom style="medium">
        <color rgb="FF008000"/>
      </bottom>
      <diagonal/>
    </border>
    <border>
      <left/>
      <right style="medium">
        <color rgb="FF008000"/>
      </right>
      <top style="medium">
        <color rgb="FF008000"/>
      </top>
      <bottom style="medium">
        <color rgb="FF008000"/>
      </bottom>
      <diagonal/>
    </border>
    <border>
      <left style="medium">
        <color rgb="FF008000"/>
      </left>
      <right/>
      <top/>
      <bottom style="hair">
        <color rgb="FF008000"/>
      </bottom>
      <diagonal/>
    </border>
    <border>
      <left style="thin">
        <color rgb="FF008000"/>
      </left>
      <right style="thin">
        <color rgb="FF008000"/>
      </right>
      <top/>
      <bottom style="hair">
        <color rgb="FF008000"/>
      </bottom>
      <diagonal/>
    </border>
    <border>
      <left/>
      <right/>
      <top/>
      <bottom style="hair">
        <color rgb="FF008000"/>
      </bottom>
      <diagonal/>
    </border>
    <border>
      <left style="thin">
        <color rgb="FF008000"/>
      </left>
      <right style="dotted">
        <color rgb="FF008000"/>
      </right>
      <top/>
      <bottom style="hair">
        <color rgb="FF008000"/>
      </bottom>
      <diagonal/>
    </border>
    <border>
      <left/>
      <right style="thin">
        <color rgb="FF008000"/>
      </right>
      <top/>
      <bottom style="hair">
        <color rgb="FF008000"/>
      </bottom>
      <diagonal/>
    </border>
    <border>
      <left/>
      <right style="medium">
        <color rgb="FF008000"/>
      </right>
      <top style="medium">
        <color rgb="FF008000"/>
      </top>
      <bottom style="hair">
        <color rgb="FF008000"/>
      </bottom>
      <diagonal/>
    </border>
    <border>
      <left style="medium">
        <color rgb="FF008000"/>
      </left>
      <right/>
      <top style="hair">
        <color rgb="FF008000"/>
      </top>
      <bottom style="hair">
        <color rgb="FF008000"/>
      </bottom>
      <diagonal/>
    </border>
    <border>
      <left style="thin">
        <color rgb="FF008000"/>
      </left>
      <right style="thin">
        <color rgb="FF008000"/>
      </right>
      <top style="hair">
        <color rgb="FF008000"/>
      </top>
      <bottom style="hair">
        <color rgb="FF008000"/>
      </bottom>
      <diagonal/>
    </border>
    <border>
      <left/>
      <right/>
      <top style="hair">
        <color rgb="FF008000"/>
      </top>
      <bottom style="hair">
        <color rgb="FF008000"/>
      </bottom>
      <diagonal/>
    </border>
    <border>
      <left style="thin">
        <color rgb="FF008000"/>
      </left>
      <right style="dotted">
        <color rgb="FF008000"/>
      </right>
      <top style="hair">
        <color rgb="FF008000"/>
      </top>
      <bottom style="hair">
        <color rgb="FF008000"/>
      </bottom>
      <diagonal/>
    </border>
    <border>
      <left/>
      <right style="thin">
        <color rgb="FF008000"/>
      </right>
      <top style="hair">
        <color rgb="FF008000"/>
      </top>
      <bottom style="hair">
        <color rgb="FF008000"/>
      </bottom>
      <diagonal/>
    </border>
    <border>
      <left style="thin">
        <color rgb="FF008000"/>
      </left>
      <right style="medium">
        <color rgb="FF008000"/>
      </right>
      <top style="hair">
        <color rgb="FF008000"/>
      </top>
      <bottom style="hair">
        <color rgb="FF008000"/>
      </bottom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>
        <color rgb="FF008000"/>
      </left>
      <right/>
      <top/>
      <bottom style="hair">
        <color rgb="FF008000"/>
      </bottom>
      <diagonal/>
    </border>
    <border>
      <left style="medium">
        <color rgb="FF008000"/>
      </left>
      <right/>
      <top style="hair">
        <color rgb="FF008000"/>
      </top>
      <bottom style="medium">
        <color rgb="FF008000"/>
      </bottom>
      <diagonal/>
    </border>
    <border>
      <left style="thin">
        <color rgb="FF008000"/>
      </left>
      <right style="thin">
        <color rgb="FF008000"/>
      </right>
      <top style="hair">
        <color rgb="FF008000"/>
      </top>
      <bottom style="medium">
        <color rgb="FF008000"/>
      </bottom>
      <diagonal/>
    </border>
    <border>
      <left/>
      <right/>
      <top style="hair">
        <color rgb="FF008000"/>
      </top>
      <bottom style="medium">
        <color rgb="FF008000"/>
      </bottom>
      <diagonal/>
    </border>
    <border>
      <left style="thin">
        <color rgb="FF008000"/>
      </left>
      <right style="dotted">
        <color rgb="FF008000"/>
      </right>
      <top style="hair">
        <color rgb="FF008000"/>
      </top>
      <bottom style="medium">
        <color rgb="FF008000"/>
      </bottom>
      <diagonal/>
    </border>
    <border>
      <left/>
      <right style="thin">
        <color rgb="FF008000"/>
      </right>
      <top style="hair">
        <color rgb="FF008000"/>
      </top>
      <bottom style="medium">
        <color rgb="FF008000"/>
      </bottom>
      <diagonal/>
    </border>
    <border>
      <left/>
      <right style="medium">
        <color rgb="FF008000"/>
      </right>
      <top style="hair">
        <color rgb="FF008000"/>
      </top>
      <bottom style="medium">
        <color rgb="FF008000"/>
      </bottom>
      <diagonal/>
    </border>
    <border>
      <left/>
      <right/>
      <top style="medium">
        <color rgb="FF008000"/>
      </top>
      <bottom/>
      <diagonal/>
    </border>
    <border>
      <left/>
      <right style="medium">
        <color rgb="FF008000"/>
      </right>
      <top style="medium">
        <color rgb="FF008000"/>
      </top>
      <bottom/>
      <diagonal/>
    </border>
    <border>
      <left style="medium">
        <color rgb="FF008000"/>
      </left>
      <right style="thin">
        <color rgb="FF008000"/>
      </right>
      <top style="medium">
        <color rgb="FF008000"/>
      </top>
      <bottom style="medium">
        <color rgb="FF008000"/>
      </bottom>
      <diagonal/>
    </border>
    <border>
      <left style="medium">
        <color rgb="FF008000"/>
      </left>
      <right style="thin">
        <color rgb="FF008000"/>
      </right>
      <top style="medium">
        <color rgb="FF008000"/>
      </top>
      <bottom style="thin">
        <color rgb="FF008000"/>
      </bottom>
      <diagonal/>
    </border>
    <border>
      <left style="thin">
        <color rgb="FF008000"/>
      </left>
      <right/>
      <top style="medium">
        <color rgb="FF008000"/>
      </top>
      <bottom style="thin">
        <color rgb="FF008000"/>
      </bottom>
      <diagonal/>
    </border>
    <border>
      <left style="thin">
        <color rgb="FF008000"/>
      </left>
      <right style="thin">
        <color rgb="FF008000"/>
      </right>
      <top style="medium">
        <color rgb="FF008000"/>
      </top>
      <bottom style="thin">
        <color rgb="FF008000"/>
      </bottom>
      <diagonal/>
    </border>
    <border>
      <left style="thin">
        <color rgb="FF008000"/>
      </left>
      <right style="medium">
        <color rgb="FF008000"/>
      </right>
      <top style="medium">
        <color rgb="FF008000"/>
      </top>
      <bottom style="thin">
        <color rgb="FF008000"/>
      </bottom>
      <diagonal/>
    </border>
    <border>
      <left style="medium">
        <color rgb="FF008000"/>
      </left>
      <right style="thin">
        <color rgb="FF008000"/>
      </right>
      <top style="thin">
        <color rgb="FF008000"/>
      </top>
      <bottom style="thin">
        <color rgb="FF008000"/>
      </bottom>
      <diagonal/>
    </border>
    <border>
      <left style="thin">
        <color rgb="FF008000"/>
      </left>
      <right/>
      <top style="thin">
        <color rgb="FF008000"/>
      </top>
      <bottom style="thin">
        <color rgb="FF008000"/>
      </bottom>
      <diagonal/>
    </border>
    <border>
      <left style="thin">
        <color rgb="FF008000"/>
      </left>
      <right style="thin">
        <color rgb="FF008000"/>
      </right>
      <top style="thin">
        <color rgb="FF008000"/>
      </top>
      <bottom style="thin">
        <color rgb="FF008000"/>
      </bottom>
      <diagonal/>
    </border>
    <border>
      <left style="thin">
        <color rgb="FF008000"/>
      </left>
      <right style="medium">
        <color rgb="FF008000"/>
      </right>
      <top style="thin">
        <color rgb="FF008000"/>
      </top>
      <bottom style="thin">
        <color rgb="FF008000"/>
      </bottom>
      <diagonal/>
    </border>
    <border>
      <left style="medium">
        <color rgb="FF008000"/>
      </left>
      <right style="thin">
        <color rgb="FF008000"/>
      </right>
      <top style="thin">
        <color rgb="FF008000"/>
      </top>
      <bottom style="medium">
        <color rgb="FF008000"/>
      </bottom>
      <diagonal/>
    </border>
    <border>
      <left style="thin">
        <color rgb="FF008000"/>
      </left>
      <right/>
      <top style="thin">
        <color rgb="FF008000"/>
      </top>
      <bottom style="medium">
        <color rgb="FF008000"/>
      </bottom>
      <diagonal/>
    </border>
    <border>
      <left style="thin">
        <color rgb="FF008000"/>
      </left>
      <right style="thin">
        <color rgb="FF008000"/>
      </right>
      <top style="thin">
        <color rgb="FF008000"/>
      </top>
      <bottom style="medium">
        <color rgb="FF008000"/>
      </bottom>
      <diagonal/>
    </border>
    <border>
      <left style="thin">
        <color rgb="FF008000"/>
      </left>
      <right style="medium">
        <color rgb="FF008000"/>
      </right>
      <top style="thin">
        <color rgb="FF008000"/>
      </top>
      <bottom style="medium">
        <color rgb="FF008000"/>
      </bottom>
      <diagonal/>
    </border>
    <border>
      <left/>
      <right/>
      <top style="hair">
        <color rgb="FF008000"/>
      </top>
      <bottom/>
      <diagonal/>
    </border>
    <border>
      <left/>
      <right style="medium">
        <color rgb="FF008000"/>
      </right>
      <top style="hair">
        <color rgb="FF008000"/>
      </top>
      <bottom/>
      <diagonal/>
    </border>
    <border>
      <left/>
      <right style="medium">
        <color rgb="FF008000"/>
      </right>
      <top style="hair">
        <color rgb="FF008000"/>
      </top>
      <bottom style="hair">
        <color rgb="FF008000"/>
      </bottom>
      <diagonal/>
    </border>
    <border>
      <left/>
      <right style="thin">
        <color rgb="FF008000"/>
      </right>
      <top style="medium">
        <color rgb="FF008000"/>
      </top>
      <bottom/>
      <diagonal/>
    </border>
    <border>
      <left/>
      <right style="thin">
        <color rgb="FF008000"/>
      </right>
      <top style="medium">
        <color rgb="FF008000"/>
      </top>
      <bottom style="thin">
        <color rgb="FF008000"/>
      </bottom>
      <diagonal/>
    </border>
    <border>
      <left/>
      <right/>
      <top style="medium">
        <color rgb="FF008000"/>
      </top>
      <bottom style="thin">
        <color rgb="FF008000"/>
      </bottom>
      <diagonal/>
    </border>
    <border>
      <left/>
      <right/>
      <top style="thin">
        <color rgb="FF008000"/>
      </top>
      <bottom/>
      <diagonal/>
    </border>
    <border>
      <left/>
      <right style="thin">
        <color rgb="FF008000"/>
      </right>
      <top style="thin">
        <color rgb="FF008000"/>
      </top>
      <bottom/>
      <diagonal/>
    </border>
    <border>
      <left/>
      <right style="thin">
        <color rgb="FF008000"/>
      </right>
      <top style="thin">
        <color rgb="FF008000"/>
      </top>
      <bottom style="thin">
        <color rgb="FF008000"/>
      </bottom>
      <diagonal/>
    </border>
    <border>
      <left/>
      <right/>
      <top style="thin">
        <color rgb="FF008000"/>
      </top>
      <bottom style="thin">
        <color rgb="FF008000"/>
      </bottom>
      <diagonal/>
    </border>
    <border>
      <left/>
      <right style="thin">
        <color rgb="FF008000"/>
      </right>
      <top style="thin">
        <color rgb="FF008000"/>
      </top>
      <bottom style="medium">
        <color rgb="FF008000"/>
      </bottom>
      <diagonal/>
    </border>
    <border>
      <left/>
      <right/>
      <top style="thin">
        <color rgb="FF008000"/>
      </top>
      <bottom style="medium">
        <color rgb="FF008000"/>
      </bottom>
      <diagonal/>
    </border>
  </borders>
  <cellStyleXfs count="8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</cellStyleXfs>
  <cellXfs count="215">
    <xf numFmtId="0" fontId="0" fillId="0" borderId="0" applyAlignment="1" pivotButton="0" quotePrefix="0" xfId="0">
      <alignment horizontal="general" vertical="bottom"/>
    </xf>
    <xf numFmtId="49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 wrapText="1"/>
    </xf>
    <xf numFmtId="49" fontId="6" fillId="2" borderId="1" applyAlignment="1" pivotButton="0" quotePrefix="0" xfId="0">
      <alignment horizontal="center" vertical="center"/>
    </xf>
    <xf numFmtId="49" fontId="6" fillId="2" borderId="2" applyAlignment="1" pivotButton="0" quotePrefix="0" xfId="0">
      <alignment horizontal="center" vertical="center"/>
    </xf>
    <xf numFmtId="49" fontId="6" fillId="2" borderId="3" applyAlignment="1" pivotButton="0" quotePrefix="0" xfId="0">
      <alignment horizontal="center" vertical="center"/>
    </xf>
    <xf numFmtId="49" fontId="6" fillId="2" borderId="4" applyAlignment="1" pivotButton="0" quotePrefix="0" xfId="0">
      <alignment horizontal="center" vertical="center" wrapText="1"/>
    </xf>
    <xf numFmtId="49" fontId="6" fillId="2" borderId="5" applyAlignment="1" pivotButton="0" quotePrefix="0" xfId="0">
      <alignment horizontal="center" vertical="center" wrapText="1"/>
    </xf>
    <xf numFmtId="49" fontId="6" fillId="2" borderId="6" applyAlignment="1" pivotButton="0" quotePrefix="0" xfId="0">
      <alignment horizontal="center" vertical="center"/>
    </xf>
    <xf numFmtId="0" fontId="6" fillId="2" borderId="7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bottom"/>
    </xf>
    <xf numFmtId="164" fontId="9" fillId="0" borderId="8" applyAlignment="1" pivotButton="0" quotePrefix="0" xfId="0">
      <alignment horizontal="center" vertical="center"/>
    </xf>
    <xf numFmtId="49" fontId="9" fillId="0" borderId="9" applyAlignment="1" pivotButton="0" quotePrefix="0" xfId="0">
      <alignment horizontal="center" vertical="center"/>
    </xf>
    <xf numFmtId="49" fontId="9" fillId="0" borderId="9" applyAlignment="1" pivotButton="0" quotePrefix="0" xfId="21">
      <alignment horizontal="left" vertical="center" shrinkToFit="1"/>
    </xf>
    <xf numFmtId="49" fontId="9" fillId="0" borderId="10" applyAlignment="1" pivotButton="0" quotePrefix="0" xfId="21">
      <alignment horizontal="left" vertical="center"/>
    </xf>
    <xf numFmtId="49" fontId="9" fillId="0" borderId="9" applyAlignment="1" pivotButton="0" quotePrefix="0" xfId="21">
      <alignment horizontal="center" vertical="center" shrinkToFit="1"/>
    </xf>
    <xf numFmtId="165" fontId="9" fillId="0" borderId="11" applyAlignment="1" pivotButton="0" quotePrefix="0" xfId="0">
      <alignment horizontal="center" vertical="center" shrinkToFit="1"/>
    </xf>
    <xf numFmtId="165" fontId="9" fillId="0" borderId="12" applyAlignment="1" pivotButton="0" quotePrefix="0" xfId="21">
      <alignment horizontal="center" vertical="center"/>
    </xf>
    <xf numFmtId="0" fontId="9" fillId="0" borderId="9" applyAlignment="1" pivotButton="0" quotePrefix="0" xfId="0">
      <alignment horizontal="center" vertical="center"/>
    </xf>
    <xf numFmtId="166" fontId="9" fillId="0" borderId="11" applyAlignment="1" pivotButton="0" quotePrefix="0" xfId="0">
      <alignment horizontal="center" vertical="center" shrinkToFit="1"/>
    </xf>
    <xf numFmtId="165" fontId="9" fillId="0" borderId="9" applyAlignment="1" pivotButton="0" quotePrefix="0" xfId="21">
      <alignment horizontal="center" vertical="center"/>
    </xf>
    <xf numFmtId="49" fontId="9" fillId="0" borderId="13" applyAlignment="1" pivotButton="0" quotePrefix="0" xfId="21">
      <alignment horizontal="left" vertical="center"/>
    </xf>
    <xf numFmtId="164" fontId="9" fillId="0" borderId="14" applyAlignment="1" pivotButton="0" quotePrefix="0" xfId="0">
      <alignment horizontal="center" vertical="center"/>
    </xf>
    <xf numFmtId="49" fontId="9" fillId="0" borderId="15" applyAlignment="1" pivotButton="0" quotePrefix="0" xfId="0">
      <alignment horizontal="center" vertical="center"/>
    </xf>
    <xf numFmtId="49" fontId="9" fillId="0" borderId="15" applyAlignment="1" pivotButton="0" quotePrefix="0" xfId="21">
      <alignment horizontal="left" vertical="center" shrinkToFit="1"/>
    </xf>
    <xf numFmtId="49" fontId="9" fillId="0" borderId="16" applyAlignment="1" pivotButton="0" quotePrefix="0" xfId="21">
      <alignment horizontal="left" vertical="center"/>
    </xf>
    <xf numFmtId="165" fontId="9" fillId="0" borderId="17" applyAlignment="1" pivotButton="0" quotePrefix="0" xfId="0">
      <alignment horizontal="center" vertical="center"/>
    </xf>
    <xf numFmtId="165" fontId="9" fillId="0" borderId="18" applyAlignment="1" pivotButton="0" quotePrefix="0" xfId="21">
      <alignment horizontal="center" vertical="center"/>
    </xf>
    <xf numFmtId="0" fontId="9" fillId="0" borderId="15" applyAlignment="1" pivotButton="0" quotePrefix="0" xfId="0">
      <alignment horizontal="center" vertical="center"/>
    </xf>
    <xf numFmtId="166" fontId="9" fillId="0" borderId="17" applyAlignment="1" pivotButton="0" quotePrefix="0" xfId="0">
      <alignment horizontal="center" vertical="center"/>
    </xf>
    <xf numFmtId="165" fontId="9" fillId="0" borderId="15" applyAlignment="1" pivotButton="0" quotePrefix="0" xfId="21">
      <alignment horizontal="center" vertical="center"/>
    </xf>
    <xf numFmtId="49" fontId="9" fillId="0" borderId="19" applyAlignment="1" pivotButton="0" quotePrefix="0" xfId="0">
      <alignment horizontal="left" vertical="center" shrinkToFit="1"/>
    </xf>
    <xf numFmtId="0" fontId="10" fillId="3" borderId="20" applyAlignment="1" pivotButton="0" quotePrefix="0" xfId="0">
      <alignment horizontal="general" vertical="center"/>
    </xf>
    <xf numFmtId="0" fontId="10" fillId="0" borderId="20" applyAlignment="1" pivotButton="0" quotePrefix="0" xfId="0">
      <alignment horizontal="general" vertical="center"/>
    </xf>
    <xf numFmtId="0" fontId="0" fillId="0" borderId="21" applyAlignment="1" pivotButton="0" quotePrefix="0" xfId="0">
      <alignment horizontal="general" vertical="bottom"/>
    </xf>
    <xf numFmtId="0" fontId="10" fillId="3" borderId="20" applyAlignment="1" pivotButton="0" quotePrefix="0" xfId="0">
      <alignment horizontal="general" vertical="center" wrapText="1"/>
    </xf>
    <xf numFmtId="0" fontId="10" fillId="0" borderId="20" applyAlignment="1" pivotButton="0" quotePrefix="0" xfId="0">
      <alignment horizontal="general" vertical="center" wrapText="1"/>
    </xf>
    <xf numFmtId="0" fontId="10" fillId="0" borderId="21" applyAlignment="1" pivotButton="0" quotePrefix="0" xfId="0">
      <alignment horizontal="general" vertical="bottom"/>
    </xf>
    <xf numFmtId="49" fontId="9" fillId="0" borderId="15" applyAlignment="1" pivotButton="0" quotePrefix="0" xfId="0">
      <alignment horizontal="left" vertical="center" shrinkToFit="1"/>
    </xf>
    <xf numFmtId="0" fontId="5" fillId="0" borderId="20" applyAlignment="1" pivotButton="0" quotePrefix="0" xfId="0">
      <alignment horizontal="left" vertical="center"/>
    </xf>
    <xf numFmtId="49" fontId="9" fillId="0" borderId="19" applyAlignment="1" pivotButton="0" quotePrefix="0" xfId="0">
      <alignment horizontal="left" vertical="center" wrapText="1" shrinkToFit="1"/>
    </xf>
    <xf numFmtId="166" fontId="9" fillId="0" borderId="22" applyAlignment="1" pivotButton="0" quotePrefix="0" xfId="0">
      <alignment horizontal="center" vertical="center"/>
    </xf>
    <xf numFmtId="165" fontId="0" fillId="0" borderId="0" applyAlignment="1" pivotButton="0" quotePrefix="0" xfId="0">
      <alignment horizontal="general" vertical="bottom"/>
    </xf>
    <xf numFmtId="49" fontId="9" fillId="0" borderId="16" applyAlignment="1" pivotButton="0" quotePrefix="0" xfId="20">
      <alignment horizontal="left" vertical="center"/>
    </xf>
    <xf numFmtId="165" fontId="9" fillId="0" borderId="15" applyAlignment="1" pivotButton="0" quotePrefix="0" xfId="20">
      <alignment horizontal="center" vertical="center"/>
    </xf>
    <xf numFmtId="49" fontId="9" fillId="0" borderId="10" applyAlignment="1" pivotButton="0" quotePrefix="0" xfId="20">
      <alignment horizontal="left" vertical="center"/>
    </xf>
    <xf numFmtId="49" fontId="11" fillId="0" borderId="15" applyAlignment="1" pivotButton="0" quotePrefix="0" xfId="0">
      <alignment horizontal="center" vertical="center"/>
    </xf>
    <xf numFmtId="49" fontId="11" fillId="0" borderId="15" applyAlignment="1" pivotButton="0" quotePrefix="0" xfId="0">
      <alignment horizontal="left" vertical="center" shrinkToFit="1"/>
    </xf>
    <xf numFmtId="49" fontId="11" fillId="0" borderId="16" applyAlignment="1" pivotButton="0" quotePrefix="0" xfId="20">
      <alignment horizontal="left" vertical="center"/>
    </xf>
    <xf numFmtId="49" fontId="11" fillId="0" borderId="9" applyAlignment="1" pivotButton="0" quotePrefix="0" xfId="21">
      <alignment horizontal="center" vertical="center" shrinkToFit="1"/>
    </xf>
    <xf numFmtId="165" fontId="11" fillId="0" borderId="17" applyAlignment="1" pivotButton="0" quotePrefix="0" xfId="0">
      <alignment horizontal="center" vertical="center"/>
    </xf>
    <xf numFmtId="165" fontId="11" fillId="0" borderId="18" applyAlignment="1" pivotButton="0" quotePrefix="0" xfId="21">
      <alignment horizontal="center" vertical="center"/>
    </xf>
    <xf numFmtId="0" fontId="11" fillId="0" borderId="15" applyAlignment="1" pivotButton="0" quotePrefix="0" xfId="0">
      <alignment horizontal="center" vertical="center"/>
    </xf>
    <xf numFmtId="166" fontId="11" fillId="0" borderId="22" applyAlignment="1" pivotButton="0" quotePrefix="0" xfId="0">
      <alignment horizontal="center" vertical="center"/>
    </xf>
    <xf numFmtId="49" fontId="11" fillId="0" borderId="19" applyAlignment="1" pivotButton="0" quotePrefix="0" xfId="0">
      <alignment horizontal="left" vertical="center" shrinkToFit="1"/>
    </xf>
    <xf numFmtId="49" fontId="11" fillId="0" borderId="19" applyAlignment="1" pivotButton="0" quotePrefix="0" xfId="0">
      <alignment horizontal="left" vertical="center" wrapText="1" shrinkToFit="1"/>
    </xf>
    <xf numFmtId="49" fontId="9" fillId="0" borderId="16" applyAlignment="1" pivotButton="0" quotePrefix="0" xfId="0">
      <alignment horizontal="left" vertical="center"/>
    </xf>
    <xf numFmtId="165" fontId="9" fillId="0" borderId="15" applyAlignment="1" pivotButton="0" quotePrefix="0" xfId="0">
      <alignment horizontal="center" vertical="center"/>
    </xf>
    <xf numFmtId="165" fontId="9" fillId="0" borderId="18" applyAlignment="1" pivotButton="0" quotePrefix="0" xfId="0">
      <alignment horizontal="center" vertical="center"/>
    </xf>
    <xf numFmtId="164" fontId="9" fillId="0" borderId="23" applyAlignment="1" pivotButton="0" quotePrefix="0" xfId="0">
      <alignment horizontal="center" vertical="center"/>
    </xf>
    <xf numFmtId="49" fontId="9" fillId="0" borderId="24" applyAlignment="1" pivotButton="0" quotePrefix="0" xfId="0">
      <alignment horizontal="center" vertical="center"/>
    </xf>
    <xf numFmtId="49" fontId="9" fillId="0" borderId="24" applyAlignment="1" pivotButton="0" quotePrefix="0" xfId="0">
      <alignment horizontal="left" vertical="center" shrinkToFit="1"/>
    </xf>
    <xf numFmtId="49" fontId="9" fillId="0" borderId="25" applyAlignment="1" pivotButton="0" quotePrefix="0" xfId="0">
      <alignment horizontal="left" vertical="center"/>
    </xf>
    <xf numFmtId="165" fontId="9" fillId="0" borderId="26" applyAlignment="1" pivotButton="0" quotePrefix="0" xfId="0">
      <alignment horizontal="center" vertical="center"/>
    </xf>
    <xf numFmtId="165" fontId="9" fillId="0" borderId="27" applyAlignment="1" pivotButton="0" quotePrefix="0" xfId="0">
      <alignment horizontal="center" vertical="center"/>
    </xf>
    <xf numFmtId="165" fontId="9" fillId="0" borderId="24" applyAlignment="1" pivotButton="0" quotePrefix="0" xfId="0">
      <alignment horizontal="center" vertical="center"/>
    </xf>
    <xf numFmtId="49" fontId="9" fillId="0" borderId="28" applyAlignment="1" pivotButton="0" quotePrefix="0" xfId="0">
      <alignment horizontal="left" vertical="center"/>
    </xf>
    <xf numFmtId="49" fontId="9" fillId="0" borderId="29" applyAlignment="1" pivotButton="0" quotePrefix="0" xfId="0">
      <alignment horizontal="general" vertical="center"/>
    </xf>
    <xf numFmtId="0" fontId="9" fillId="0" borderId="29" applyAlignment="1" pivotButton="0" quotePrefix="0" xfId="0">
      <alignment horizontal="center" vertical="center" shrinkToFit="1"/>
    </xf>
    <xf numFmtId="0" fontId="9" fillId="0" borderId="30" applyAlignment="1" pivotButton="0" quotePrefix="0" xfId="0">
      <alignment horizontal="center" vertical="center"/>
    </xf>
    <xf numFmtId="49" fontId="6" fillId="2" borderId="31" applyAlignment="1" pivotButton="0" quotePrefix="0" xfId="0">
      <alignment horizontal="center" vertical="center" shrinkToFit="1"/>
    </xf>
    <xf numFmtId="165" fontId="9" fillId="0" borderId="6" applyAlignment="1" pivotButton="0" quotePrefix="0" xfId="0">
      <alignment horizontal="center" vertical="center" shrinkToFit="1"/>
    </xf>
    <xf numFmtId="0" fontId="6" fillId="2" borderId="31" applyAlignment="1" pivotButton="0" quotePrefix="0" xfId="0">
      <alignment horizontal="center" vertical="center"/>
    </xf>
    <xf numFmtId="0" fontId="9" fillId="0" borderId="3" applyAlignment="1" pivotButton="0" quotePrefix="0" xfId="0">
      <alignment horizontal="center" vertical="center"/>
    </xf>
    <xf numFmtId="0" fontId="9" fillId="0" borderId="7" applyAlignment="1" pivotButton="0" quotePrefix="0" xfId="0">
      <alignment horizontal="left" vertical="center" shrinkToFit="1"/>
    </xf>
    <xf numFmtId="49" fontId="9" fillId="0" borderId="0" applyAlignment="1" pivotButton="0" quotePrefix="0" xfId="0">
      <alignment horizontal="general" vertical="center"/>
    </xf>
    <xf numFmtId="49" fontId="6" fillId="2" borderId="32" applyAlignment="1" pivotButton="0" quotePrefix="0" xfId="0">
      <alignment horizontal="general" vertical="center" shrinkToFit="1"/>
    </xf>
    <xf numFmtId="49" fontId="9" fillId="0" borderId="33" applyAlignment="1" pivotButton="0" quotePrefix="0" xfId="0">
      <alignment horizontal="left" vertical="center"/>
    </xf>
    <xf numFmtId="49" fontId="7" fillId="2" borderId="34" applyAlignment="1" pivotButton="0" quotePrefix="0" xfId="0">
      <alignment horizontal="general" vertical="center" shrinkToFit="1"/>
    </xf>
    <xf numFmtId="49" fontId="9" fillId="0" borderId="34" applyAlignment="1" pivotButton="0" quotePrefix="0" xfId="0">
      <alignment horizontal="left" vertical="center" wrapText="1"/>
    </xf>
    <xf numFmtId="0" fontId="6" fillId="2" borderId="34" applyAlignment="1" pivotButton="0" quotePrefix="0" xfId="0">
      <alignment horizontal="center" vertical="center" shrinkToFit="1"/>
    </xf>
    <xf numFmtId="49" fontId="9" fillId="0" borderId="34" applyAlignment="1" pivotButton="0" quotePrefix="0" xfId="0">
      <alignment horizontal="center" vertical="center"/>
    </xf>
    <xf numFmtId="49" fontId="9" fillId="0" borderId="35" applyAlignment="1" pivotButton="0" quotePrefix="0" xfId="0">
      <alignment horizontal="center" vertical="center" shrinkToFit="1"/>
    </xf>
    <xf numFmtId="49" fontId="6" fillId="2" borderId="36" applyAlignment="1" pivotButton="0" quotePrefix="0" xfId="0">
      <alignment horizontal="general" vertical="center" shrinkToFit="1"/>
    </xf>
    <xf numFmtId="49" fontId="9" fillId="0" borderId="37" applyAlignment="1" pivotButton="0" quotePrefix="0" xfId="0">
      <alignment horizontal="left" vertical="center"/>
    </xf>
    <xf numFmtId="49" fontId="7" fillId="2" borderId="38" applyAlignment="1" pivotButton="0" quotePrefix="0" xfId="0">
      <alignment horizontal="general" vertical="center" shrinkToFit="1"/>
    </xf>
    <xf numFmtId="49" fontId="9" fillId="0" borderId="38" applyAlignment="1" pivotButton="0" quotePrefix="0" xfId="0">
      <alignment horizontal="left" vertical="center"/>
    </xf>
    <xf numFmtId="0" fontId="6" fillId="2" borderId="38" applyAlignment="1" pivotButton="0" quotePrefix="0" xfId="0">
      <alignment horizontal="center" vertical="center" shrinkToFit="1"/>
    </xf>
    <xf numFmtId="49" fontId="9" fillId="0" borderId="38" applyAlignment="1" pivotButton="0" quotePrefix="0" xfId="0">
      <alignment horizontal="center" vertical="center"/>
    </xf>
    <xf numFmtId="49" fontId="9" fillId="0" borderId="39" applyAlignment="1" pivotButton="0" quotePrefix="0" xfId="0">
      <alignment horizontal="center" vertical="center" shrinkToFit="1"/>
    </xf>
    <xf numFmtId="49" fontId="6" fillId="2" borderId="40" applyAlignment="1" pivotButton="0" quotePrefix="0" xfId="0">
      <alignment horizontal="general" vertical="center" shrinkToFit="1"/>
    </xf>
    <xf numFmtId="49" fontId="9" fillId="0" borderId="41" applyAlignment="1" pivotButton="0" quotePrefix="0" xfId="0">
      <alignment horizontal="left" vertical="center"/>
    </xf>
    <xf numFmtId="49" fontId="7" fillId="2" borderId="42" applyAlignment="1" pivotButton="0" quotePrefix="0" xfId="0">
      <alignment horizontal="general" vertical="center" shrinkToFit="1"/>
    </xf>
    <xf numFmtId="49" fontId="9" fillId="0" borderId="42" applyAlignment="1" pivotButton="0" quotePrefix="0" xfId="0">
      <alignment horizontal="left" vertical="center"/>
    </xf>
    <xf numFmtId="0" fontId="6" fillId="2" borderId="42" applyAlignment="1" pivotButton="0" quotePrefix="0" xfId="0">
      <alignment horizontal="center" vertical="center" shrinkToFit="1"/>
    </xf>
    <xf numFmtId="49" fontId="9" fillId="0" borderId="42" applyAlignment="1" pivotButton="0" quotePrefix="0" xfId="0">
      <alignment horizontal="center" vertical="center"/>
    </xf>
    <xf numFmtId="49" fontId="9" fillId="0" borderId="43" applyAlignment="1" pivotButton="0" quotePrefix="0" xfId="0">
      <alignment horizontal="general" vertical="center" shrinkToFit="1"/>
    </xf>
    <xf numFmtId="0" fontId="0" fillId="0" borderId="0" applyAlignment="1" pivotButton="0" quotePrefix="0" xfId="0">
      <alignment horizontal="general" vertical="bottom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49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 wrapText="1"/>
    </xf>
    <xf numFmtId="49" fontId="6" fillId="2" borderId="1" applyAlignment="1" pivotButton="0" quotePrefix="0" xfId="0">
      <alignment horizontal="center" vertical="center"/>
    </xf>
    <xf numFmtId="49" fontId="6" fillId="2" borderId="2" applyAlignment="1" pivotButton="0" quotePrefix="0" xfId="0">
      <alignment horizontal="center" vertical="center"/>
    </xf>
    <xf numFmtId="49" fontId="6" fillId="2" borderId="3" applyAlignment="1" pivotButton="0" quotePrefix="0" xfId="0">
      <alignment horizontal="center" vertical="center"/>
    </xf>
    <xf numFmtId="49" fontId="6" fillId="2" borderId="4" applyAlignment="1" pivotButton="0" quotePrefix="0" xfId="0">
      <alignment horizontal="center" vertical="center" wrapText="1"/>
    </xf>
    <xf numFmtId="49" fontId="6" fillId="2" borderId="5" applyAlignment="1" pivotButton="0" quotePrefix="0" xfId="0">
      <alignment horizontal="center" vertical="center" wrapText="1"/>
    </xf>
    <xf numFmtId="49" fontId="6" fillId="2" borderId="6" applyAlignment="1" pivotButton="0" quotePrefix="0" xfId="0">
      <alignment horizontal="center" vertical="center"/>
    </xf>
    <xf numFmtId="0" fontId="6" fillId="2" borderId="7" applyAlignment="1" pivotButton="0" quotePrefix="0" xfId="0">
      <alignment horizontal="center" vertical="center"/>
    </xf>
    <xf numFmtId="0" fontId="0" fillId="0" borderId="7" pivotButton="0" quotePrefix="0" xfId="0"/>
    <xf numFmtId="0" fontId="8" fillId="0" borderId="0" applyAlignment="1" pivotButton="0" quotePrefix="0" xfId="0">
      <alignment horizontal="center" vertical="bottom"/>
    </xf>
    <xf numFmtId="0" fontId="12" fillId="4" borderId="0" applyAlignment="1" pivotButton="0" quotePrefix="0" xfId="0">
      <alignment horizontal="center" vertical="center" wrapText="1"/>
    </xf>
    <xf numFmtId="164" fontId="9" fillId="0" borderId="8" applyAlignment="1" pivotButton="0" quotePrefix="0" xfId="0">
      <alignment horizontal="center" vertical="center"/>
    </xf>
    <xf numFmtId="49" fontId="9" fillId="0" borderId="9" applyAlignment="1" pivotButton="0" quotePrefix="0" xfId="0">
      <alignment horizontal="center" vertical="center"/>
    </xf>
    <xf numFmtId="49" fontId="9" fillId="0" borderId="9" applyAlignment="1" pivotButton="0" quotePrefix="0" xfId="21">
      <alignment horizontal="left" vertical="center" shrinkToFit="1"/>
    </xf>
    <xf numFmtId="49" fontId="9" fillId="0" borderId="10" applyAlignment="1" pivotButton="0" quotePrefix="0" xfId="21">
      <alignment horizontal="left" vertical="center"/>
    </xf>
    <xf numFmtId="49" fontId="9" fillId="0" borderId="9" applyAlignment="1" pivotButton="0" quotePrefix="0" xfId="21">
      <alignment horizontal="center" vertical="center" shrinkToFit="1"/>
    </xf>
    <xf numFmtId="165" fontId="9" fillId="0" borderId="11" applyAlignment="1" pivotButton="0" quotePrefix="0" xfId="0">
      <alignment horizontal="center" vertical="center" shrinkToFit="1"/>
    </xf>
    <xf numFmtId="165" fontId="9" fillId="0" borderId="12" applyAlignment="1" pivotButton="0" quotePrefix="0" xfId="21">
      <alignment horizontal="center" vertical="center"/>
    </xf>
    <xf numFmtId="0" fontId="9" fillId="0" borderId="9" applyAlignment="1" pivotButton="0" quotePrefix="0" xfId="0">
      <alignment horizontal="center" vertical="center"/>
    </xf>
    <xf numFmtId="166" fontId="9" fillId="0" borderId="11" applyAlignment="1" pivotButton="0" quotePrefix="0" xfId="0">
      <alignment horizontal="center" vertical="center" shrinkToFit="1"/>
    </xf>
    <xf numFmtId="165" fontId="9" fillId="0" borderId="9" applyAlignment="1" pivotButton="0" quotePrefix="0" xfId="21">
      <alignment horizontal="center" vertical="center"/>
    </xf>
    <xf numFmtId="49" fontId="9" fillId="0" borderId="13" applyAlignment="1" pivotButton="0" quotePrefix="0" xfId="21">
      <alignment horizontal="left" vertical="center"/>
    </xf>
    <xf numFmtId="0" fontId="0" fillId="0" borderId="13" pivotButton="0" quotePrefix="0" xfId="0"/>
    <xf numFmtId="0" fontId="0" fillId="5" borderId="0" pivotButton="0" quotePrefix="0" xfId="0"/>
    <xf numFmtId="164" fontId="9" fillId="0" borderId="14" applyAlignment="1" pivotButton="0" quotePrefix="0" xfId="0">
      <alignment horizontal="center" vertical="center"/>
    </xf>
    <xf numFmtId="49" fontId="9" fillId="0" borderId="15" applyAlignment="1" pivotButton="0" quotePrefix="0" xfId="0">
      <alignment horizontal="center" vertical="center"/>
    </xf>
    <xf numFmtId="49" fontId="9" fillId="0" borderId="15" applyAlignment="1" pivotButton="0" quotePrefix="0" xfId="21">
      <alignment horizontal="left" vertical="center" shrinkToFit="1"/>
    </xf>
    <xf numFmtId="49" fontId="9" fillId="0" borderId="16" applyAlignment="1" pivotButton="0" quotePrefix="0" xfId="21">
      <alignment horizontal="left" vertical="center"/>
    </xf>
    <xf numFmtId="165" fontId="9" fillId="0" borderId="17" applyAlignment="1" pivotButton="0" quotePrefix="0" xfId="0">
      <alignment horizontal="center" vertical="center"/>
    </xf>
    <xf numFmtId="165" fontId="9" fillId="0" borderId="18" applyAlignment="1" pivotButton="0" quotePrefix="0" xfId="21">
      <alignment horizontal="center" vertical="center"/>
    </xf>
    <xf numFmtId="0" fontId="9" fillId="0" borderId="15" applyAlignment="1" pivotButton="0" quotePrefix="0" xfId="0">
      <alignment horizontal="center" vertical="center"/>
    </xf>
    <xf numFmtId="166" fontId="9" fillId="0" borderId="17" applyAlignment="1" pivotButton="0" quotePrefix="0" xfId="0">
      <alignment horizontal="center" vertical="center"/>
    </xf>
    <xf numFmtId="165" fontId="9" fillId="0" borderId="15" applyAlignment="1" pivotButton="0" quotePrefix="0" xfId="21">
      <alignment horizontal="center" vertical="center"/>
    </xf>
    <xf numFmtId="49" fontId="9" fillId="0" borderId="19" applyAlignment="1" pivotButton="0" quotePrefix="0" xfId="0">
      <alignment horizontal="left" vertical="center" shrinkToFit="1"/>
    </xf>
    <xf numFmtId="0" fontId="0" fillId="0" borderId="46" pivotButton="0" quotePrefix="0" xfId="0"/>
    <xf numFmtId="0" fontId="0" fillId="6" borderId="0" pivotButton="0" quotePrefix="0" xfId="0"/>
    <xf numFmtId="0" fontId="0" fillId="6" borderId="0" applyAlignment="1" pivotButton="0" quotePrefix="0" xfId="0">
      <alignment horizontal="center"/>
    </xf>
    <xf numFmtId="0" fontId="0" fillId="6" borderId="0" applyAlignment="1" pivotButton="0" quotePrefix="0" xfId="0">
      <alignment vertical="top" wrapText="1"/>
    </xf>
    <xf numFmtId="0" fontId="0" fillId="7" borderId="0" pivotButton="0" quotePrefix="0" xfId="0"/>
    <xf numFmtId="0" fontId="0" fillId="7" borderId="0" applyAlignment="1" pivotButton="0" quotePrefix="0" xfId="0">
      <alignment horizontal="center"/>
    </xf>
    <xf numFmtId="0" fontId="0" fillId="7" borderId="0" applyAlignment="1" pivotButton="0" quotePrefix="0" xfId="0">
      <alignment vertical="top" wrapText="1"/>
    </xf>
    <xf numFmtId="0" fontId="10" fillId="3" borderId="20" applyAlignment="1" pivotButton="0" quotePrefix="0" xfId="0">
      <alignment horizontal="general" vertical="center"/>
    </xf>
    <xf numFmtId="0" fontId="10" fillId="0" borderId="20" applyAlignment="1" pivotButton="0" quotePrefix="0" xfId="0">
      <alignment horizontal="general" vertical="center"/>
    </xf>
    <xf numFmtId="0" fontId="0" fillId="0" borderId="21" applyAlignment="1" pivotButton="0" quotePrefix="0" xfId="0">
      <alignment horizontal="general" vertical="bottom"/>
    </xf>
    <xf numFmtId="0" fontId="10" fillId="3" borderId="20" applyAlignment="1" pivotButton="0" quotePrefix="0" xfId="0">
      <alignment horizontal="general" vertical="center" wrapText="1"/>
    </xf>
    <xf numFmtId="0" fontId="10" fillId="0" borderId="20" applyAlignment="1" pivotButton="0" quotePrefix="0" xfId="0">
      <alignment horizontal="general" vertical="center" wrapText="1"/>
    </xf>
    <xf numFmtId="0" fontId="10" fillId="0" borderId="21" applyAlignment="1" pivotButton="0" quotePrefix="0" xfId="0">
      <alignment horizontal="general" vertical="bottom"/>
    </xf>
    <xf numFmtId="49" fontId="9" fillId="0" borderId="15" applyAlignment="1" pivotButton="0" quotePrefix="0" xfId="0">
      <alignment horizontal="left" vertical="center" shrinkToFit="1"/>
    </xf>
    <xf numFmtId="0" fontId="5" fillId="0" borderId="20" applyAlignment="1" pivotButton="0" quotePrefix="0" xfId="0">
      <alignment horizontal="left" vertical="center"/>
    </xf>
    <xf numFmtId="49" fontId="9" fillId="0" borderId="19" applyAlignment="1" pivotButton="0" quotePrefix="0" xfId="0">
      <alignment horizontal="left" vertical="center" wrapText="1" shrinkToFit="1"/>
    </xf>
    <xf numFmtId="166" fontId="9" fillId="0" borderId="22" applyAlignment="1" pivotButton="0" quotePrefix="0" xfId="0">
      <alignment horizontal="center" vertical="center"/>
    </xf>
    <xf numFmtId="165" fontId="0" fillId="0" borderId="0" applyAlignment="1" pivotButton="0" quotePrefix="0" xfId="0">
      <alignment horizontal="general" vertical="bottom"/>
    </xf>
    <xf numFmtId="49" fontId="9" fillId="0" borderId="16" applyAlignment="1" pivotButton="0" quotePrefix="0" xfId="20">
      <alignment horizontal="left" vertical="center"/>
    </xf>
    <xf numFmtId="165" fontId="9" fillId="0" borderId="15" applyAlignment="1" pivotButton="0" quotePrefix="0" xfId="20">
      <alignment horizontal="center" vertical="center"/>
    </xf>
    <xf numFmtId="49" fontId="9" fillId="0" borderId="10" applyAlignment="1" pivotButton="0" quotePrefix="0" xfId="20">
      <alignment horizontal="left" vertical="center"/>
    </xf>
    <xf numFmtId="49" fontId="11" fillId="0" borderId="15" applyAlignment="1" pivotButton="0" quotePrefix="0" xfId="0">
      <alignment horizontal="center" vertical="center"/>
    </xf>
    <xf numFmtId="49" fontId="11" fillId="0" borderId="15" applyAlignment="1" pivotButton="0" quotePrefix="0" xfId="0">
      <alignment horizontal="left" vertical="center" shrinkToFit="1"/>
    </xf>
    <xf numFmtId="49" fontId="11" fillId="0" borderId="16" applyAlignment="1" pivotButton="0" quotePrefix="0" xfId="20">
      <alignment horizontal="left" vertical="center"/>
    </xf>
    <xf numFmtId="49" fontId="11" fillId="0" borderId="9" applyAlignment="1" pivotButton="0" quotePrefix="0" xfId="21">
      <alignment horizontal="center" vertical="center" shrinkToFit="1"/>
    </xf>
    <xf numFmtId="165" fontId="11" fillId="0" borderId="17" applyAlignment="1" pivotButton="0" quotePrefix="0" xfId="0">
      <alignment horizontal="center" vertical="center"/>
    </xf>
    <xf numFmtId="165" fontId="11" fillId="0" borderId="18" applyAlignment="1" pivotButton="0" quotePrefix="0" xfId="21">
      <alignment horizontal="center" vertical="center"/>
    </xf>
    <xf numFmtId="0" fontId="11" fillId="0" borderId="15" applyAlignment="1" pivotButton="0" quotePrefix="0" xfId="0">
      <alignment horizontal="center" vertical="center"/>
    </xf>
    <xf numFmtId="166" fontId="11" fillId="0" borderId="22" applyAlignment="1" pivotButton="0" quotePrefix="0" xfId="0">
      <alignment horizontal="center" vertical="center"/>
    </xf>
    <xf numFmtId="49" fontId="11" fillId="0" borderId="19" applyAlignment="1" pivotButton="0" quotePrefix="0" xfId="0">
      <alignment horizontal="left" vertical="center" shrinkToFit="1"/>
    </xf>
    <xf numFmtId="49" fontId="11" fillId="0" borderId="19" applyAlignment="1" pivotButton="0" quotePrefix="0" xfId="0">
      <alignment horizontal="left" vertical="center" wrapText="1" shrinkToFit="1"/>
    </xf>
    <xf numFmtId="49" fontId="9" fillId="0" borderId="16" applyAlignment="1" pivotButton="0" quotePrefix="0" xfId="0">
      <alignment horizontal="left" vertical="center"/>
    </xf>
    <xf numFmtId="165" fontId="9" fillId="0" borderId="15" applyAlignment="1" pivotButton="0" quotePrefix="0" xfId="0">
      <alignment horizontal="center" vertical="center"/>
    </xf>
    <xf numFmtId="165" fontId="9" fillId="0" borderId="18" applyAlignment="1" pivotButton="0" quotePrefix="0" xfId="0">
      <alignment horizontal="center" vertical="center"/>
    </xf>
    <xf numFmtId="164" fontId="9" fillId="0" borderId="23" applyAlignment="1" pivotButton="0" quotePrefix="0" xfId="0">
      <alignment horizontal="center" vertical="center"/>
    </xf>
    <xf numFmtId="49" fontId="9" fillId="0" borderId="24" applyAlignment="1" pivotButton="0" quotePrefix="0" xfId="0">
      <alignment horizontal="center" vertical="center"/>
    </xf>
    <xf numFmtId="49" fontId="9" fillId="0" borderId="24" applyAlignment="1" pivotButton="0" quotePrefix="0" xfId="0">
      <alignment horizontal="left" vertical="center" shrinkToFit="1"/>
    </xf>
    <xf numFmtId="49" fontId="9" fillId="0" borderId="25" applyAlignment="1" pivotButton="0" quotePrefix="0" xfId="0">
      <alignment horizontal="left" vertical="center"/>
    </xf>
    <xf numFmtId="165" fontId="9" fillId="0" borderId="26" applyAlignment="1" pivotButton="0" quotePrefix="0" xfId="0">
      <alignment horizontal="center" vertical="center"/>
    </xf>
    <xf numFmtId="165" fontId="9" fillId="0" borderId="27" applyAlignment="1" pivotButton="0" quotePrefix="0" xfId="0">
      <alignment horizontal="center" vertical="center"/>
    </xf>
    <xf numFmtId="165" fontId="9" fillId="0" borderId="24" applyAlignment="1" pivotButton="0" quotePrefix="0" xfId="0">
      <alignment horizontal="center" vertical="center"/>
    </xf>
    <xf numFmtId="49" fontId="9" fillId="0" borderId="28" applyAlignment="1" pivotButton="0" quotePrefix="0" xfId="0">
      <alignment horizontal="left" vertical="center"/>
    </xf>
    <xf numFmtId="0" fontId="0" fillId="0" borderId="28" pivotButton="0" quotePrefix="0" xfId="0"/>
    <xf numFmtId="49" fontId="9" fillId="0" borderId="29" applyAlignment="1" pivotButton="0" quotePrefix="0" xfId="0">
      <alignment horizontal="general" vertical="center"/>
    </xf>
    <xf numFmtId="0" fontId="9" fillId="0" borderId="29" applyAlignment="1" pivotButton="0" quotePrefix="0" xfId="0">
      <alignment horizontal="center" vertical="center" shrinkToFit="1"/>
    </xf>
    <xf numFmtId="0" fontId="9" fillId="0" borderId="30" applyAlignment="1" pivotButton="0" quotePrefix="0" xfId="0">
      <alignment horizontal="center" vertical="center"/>
    </xf>
    <xf numFmtId="49" fontId="6" fillId="2" borderId="31" applyAlignment="1" pivotButton="0" quotePrefix="0" xfId="0">
      <alignment horizontal="center" vertical="center" shrinkToFit="1"/>
    </xf>
    <xf numFmtId="165" fontId="9" fillId="0" borderId="6" applyAlignment="1" pivotButton="0" quotePrefix="0" xfId="0">
      <alignment horizontal="center" vertical="center" shrinkToFit="1"/>
    </xf>
    <xf numFmtId="0" fontId="6" fillId="2" borderId="31" applyAlignment="1" pivotButton="0" quotePrefix="0" xfId="0">
      <alignment horizontal="center" vertical="center"/>
    </xf>
    <xf numFmtId="0" fontId="9" fillId="0" borderId="3" applyAlignment="1" pivotButton="0" quotePrefix="0" xfId="0">
      <alignment horizontal="center" vertical="center"/>
    </xf>
    <xf numFmtId="0" fontId="9" fillId="0" borderId="7" applyAlignment="1" pivotButton="0" quotePrefix="0" xfId="0">
      <alignment horizontal="left" vertical="center" shrinkToFit="1"/>
    </xf>
    <xf numFmtId="49" fontId="9" fillId="0" borderId="0" applyAlignment="1" pivotButton="0" quotePrefix="0" xfId="0">
      <alignment horizontal="general" vertical="center"/>
    </xf>
    <xf numFmtId="49" fontId="6" fillId="2" borderId="32" applyAlignment="1" pivotButton="0" quotePrefix="0" xfId="0">
      <alignment horizontal="general" vertical="center" shrinkToFit="1"/>
    </xf>
    <xf numFmtId="0" fontId="0" fillId="0" borderId="48" pivotButton="0" quotePrefix="0" xfId="0"/>
    <xf numFmtId="49" fontId="9" fillId="0" borderId="33" applyAlignment="1" pivotButton="0" quotePrefix="0" xfId="0">
      <alignment horizontal="left" vertical="center"/>
    </xf>
    <xf numFmtId="49" fontId="7" fillId="2" borderId="34" applyAlignment="1" pivotButton="0" quotePrefix="0" xfId="0">
      <alignment horizontal="general" vertical="center" shrinkToFit="1"/>
    </xf>
    <xf numFmtId="49" fontId="9" fillId="0" borderId="34" applyAlignment="1" pivotButton="0" quotePrefix="0" xfId="0">
      <alignment horizontal="left" vertical="center" wrapText="1"/>
    </xf>
    <xf numFmtId="0" fontId="0" fillId="0" borderId="49" pivotButton="0" quotePrefix="0" xfId="0"/>
    <xf numFmtId="0" fontId="6" fillId="2" borderId="34" applyAlignment="1" pivotButton="0" quotePrefix="0" xfId="0">
      <alignment horizontal="center" vertical="center" shrinkToFit="1"/>
    </xf>
    <xf numFmtId="49" fontId="9" fillId="0" borderId="34" applyAlignment="1" pivotButton="0" quotePrefix="0" xfId="0">
      <alignment horizontal="center" vertical="center"/>
    </xf>
    <xf numFmtId="49" fontId="9" fillId="0" borderId="35" applyAlignment="1" pivotButton="0" quotePrefix="0" xfId="0">
      <alignment horizontal="center" vertical="center" shrinkToFit="1"/>
    </xf>
    <xf numFmtId="49" fontId="6" fillId="2" borderId="36" applyAlignment="1" pivotButton="0" quotePrefix="0" xfId="0">
      <alignment horizontal="general" vertical="center" shrinkToFit="1"/>
    </xf>
    <xf numFmtId="0" fontId="0" fillId="0" borderId="52" pivotButton="0" quotePrefix="0" xfId="0"/>
    <xf numFmtId="49" fontId="9" fillId="0" borderId="37" applyAlignment="1" pivotButton="0" quotePrefix="0" xfId="0">
      <alignment horizontal="left" vertical="center"/>
    </xf>
    <xf numFmtId="49" fontId="7" fillId="2" borderId="38" applyAlignment="1" pivotButton="0" quotePrefix="0" xfId="0">
      <alignment horizontal="general" vertical="center" shrinkToFit="1"/>
    </xf>
    <xf numFmtId="49" fontId="9" fillId="0" borderId="38" applyAlignment="1" pivotButton="0" quotePrefix="0" xfId="0">
      <alignment horizontal="left" vertical="center"/>
    </xf>
    <xf numFmtId="0" fontId="0" fillId="0" borderId="53" pivotButton="0" quotePrefix="0" xfId="0"/>
    <xf numFmtId="0" fontId="6" fillId="2" borderId="38" applyAlignment="1" pivotButton="0" quotePrefix="0" xfId="0">
      <alignment horizontal="center" vertical="center" shrinkToFit="1"/>
    </xf>
    <xf numFmtId="49" fontId="9" fillId="0" borderId="38" applyAlignment="1" pivotButton="0" quotePrefix="0" xfId="0">
      <alignment horizontal="center" vertical="center"/>
    </xf>
    <xf numFmtId="49" fontId="9" fillId="0" borderId="39" applyAlignment="1" pivotButton="0" quotePrefix="0" xfId="0">
      <alignment horizontal="center" vertical="center" shrinkToFit="1"/>
    </xf>
    <xf numFmtId="49" fontId="6" fillId="2" borderId="40" applyAlignment="1" pivotButton="0" quotePrefix="0" xfId="0">
      <alignment horizontal="general" vertical="center" shrinkToFit="1"/>
    </xf>
    <xf numFmtId="0" fontId="0" fillId="0" borderId="54" pivotButton="0" quotePrefix="0" xfId="0"/>
    <xf numFmtId="49" fontId="9" fillId="0" borderId="41" applyAlignment="1" pivotButton="0" quotePrefix="0" xfId="0">
      <alignment horizontal="left" vertical="center"/>
    </xf>
    <xf numFmtId="49" fontId="7" fillId="2" borderId="42" applyAlignment="1" pivotButton="0" quotePrefix="0" xfId="0">
      <alignment horizontal="general" vertical="center" shrinkToFit="1"/>
    </xf>
    <xf numFmtId="49" fontId="9" fillId="0" borderId="42" applyAlignment="1" pivotButton="0" quotePrefix="0" xfId="0">
      <alignment horizontal="left" vertical="center"/>
    </xf>
    <xf numFmtId="0" fontId="0" fillId="0" borderId="55" pivotButton="0" quotePrefix="0" xfId="0"/>
    <xf numFmtId="0" fontId="6" fillId="2" borderId="42" applyAlignment="1" pivotButton="0" quotePrefix="0" xfId="0">
      <alignment horizontal="center" vertical="center" shrinkToFit="1"/>
    </xf>
    <xf numFmtId="49" fontId="9" fillId="0" borderId="42" applyAlignment="1" pivotButton="0" quotePrefix="0" xfId="0">
      <alignment horizontal="center" vertical="center"/>
    </xf>
    <xf numFmtId="49" fontId="9" fillId="0" borderId="43" applyAlignment="1" pivotButton="0" quotePrefix="0" xfId="0">
      <alignment horizontal="general" vertical="center" shrinkToFit="1"/>
    </xf>
    <xf numFmtId="0" fontId="0" fillId="0" borderId="0" applyAlignment="1" pivotButton="0" quotePrefix="0" xfId="0">
      <alignment horizontal="general" vertical="bottom" wrapText="1"/>
    </xf>
  </cellXfs>
  <cellStyles count="8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標準_Sheet1" xfId="6"/>
    <cellStyle name="標準_レコード仕様書(自動作成)原紙" xfId="7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S3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3.4921875" defaultRowHeight="15" zeroHeight="0" outlineLevelRow="0"/>
  <cols>
    <col width="3.62" customWidth="1" style="98" min="1" max="1"/>
    <col width="4.61" customWidth="1" style="98" min="2" max="2"/>
    <col width="21.25" customWidth="1" style="98" min="3" max="3"/>
    <col width="14.11" customWidth="1" style="98" min="4" max="4"/>
    <col width="5.37" customWidth="1" style="98" min="5" max="5"/>
    <col width="6.61" customWidth="1" style="98" min="6" max="7"/>
    <col width="5.61" customWidth="1" style="98" min="8" max="8"/>
    <col width="6.61" customWidth="1" style="98" min="9" max="9"/>
    <col width="4.49" customWidth="1" style="98" min="10" max="10"/>
    <col width="6.12" customWidth="1" style="98" min="11" max="11"/>
    <col width="9.609999999999999" customWidth="1" style="98" min="12" max="12"/>
    <col width="2.99" customWidth="1" style="98" min="13" max="13"/>
    <col width="25.49" customWidth="1" style="98" min="14" max="14"/>
    <col width="22.11" customWidth="1" style="98" min="15" max="15"/>
    <col width="4.99" customWidth="1" style="98" min="16" max="16"/>
    <col width="40" customWidth="1" style="99" min="17" max="17"/>
    <col width="18" customWidth="1" style="99" min="18" max="18"/>
    <col width="60" customWidth="1" style="99" min="19" max="19"/>
  </cols>
  <sheetData>
    <row r="1" ht="39.95" customHeight="1" s="99">
      <c r="A1" s="100" t="inlineStr">
        <is>
          <t>MQｲﾝﾀｰﾌｪｰｽLAYOUT仕様書</t>
        </is>
      </c>
      <c r="N1" s="101" t="inlineStr">
        <is>
          <t>下記のボタンをそのままクリックしてください。</t>
        </is>
      </c>
    </row>
    <row r="2" ht="23.1" customHeight="1" s="99">
      <c r="A2" s="102" t="inlineStr">
        <is>
          <t>№</t>
        </is>
      </c>
      <c r="B2" s="103" t="inlineStr">
        <is>
          <t>LVL</t>
        </is>
      </c>
      <c r="C2" s="103" t="inlineStr">
        <is>
          <t>項目名</t>
        </is>
      </c>
      <c r="D2" s="104" t="inlineStr">
        <is>
          <t>項目コード</t>
        </is>
      </c>
      <c r="E2" s="103" t="inlineStr">
        <is>
          <t>Type</t>
        </is>
      </c>
      <c r="F2" s="105" t="inlineStr">
        <is>
          <t>Leng　　(整数)</t>
        </is>
      </c>
      <c r="G2" s="106" t="inlineStr">
        <is>
          <t>Leng　　(小数)</t>
        </is>
      </c>
      <c r="H2" s="103" t="inlineStr">
        <is>
          <t>上限</t>
        </is>
      </c>
      <c r="I2" s="107" t="inlineStr">
        <is>
          <t>Byte</t>
        </is>
      </c>
      <c r="J2" s="103" t="inlineStr">
        <is>
          <t>ｱﾚ-</t>
        </is>
      </c>
      <c r="K2" s="108" t="inlineStr">
        <is>
          <t>備考</t>
        </is>
      </c>
      <c r="L2" s="109" t="n"/>
      <c r="O2" s="110" t="inlineStr">
        <is>
          <t>する</t>
        </is>
      </c>
      <c r="Q2" s="111" t="inlineStr">
        <is>
          <t>推奨 SAP 字段</t>
        </is>
      </c>
      <c r="R2" s="111" t="inlineStr">
        <is>
          <t>信心</t>
        </is>
      </c>
      <c r="S2" s="111" t="inlineStr">
        <is>
          <t>備考（业务判断）</t>
        </is>
      </c>
    </row>
    <row r="3" ht="23.1" customHeight="1" s="99">
      <c r="A3" s="112" t="n">
        <v>1</v>
      </c>
      <c r="B3" s="113" t="inlineStr">
        <is>
          <t>03</t>
        </is>
      </c>
      <c r="C3" s="114" t="inlineStr">
        <is>
          <t>ファイルＩＤ</t>
        </is>
      </c>
      <c r="D3" s="115" t="inlineStr">
        <is>
          <t>BFIL</t>
        </is>
      </c>
      <c r="E3" s="116" t="inlineStr">
        <is>
          <t>C</t>
        </is>
      </c>
      <c r="F3" s="117" t="n">
        <v>2</v>
      </c>
      <c r="G3" s="118" t="n"/>
      <c r="H3" s="119" t="n">
        <v>1</v>
      </c>
      <c r="I3" s="120" t="n">
        <v>2</v>
      </c>
      <c r="J3" s="121" t="n"/>
      <c r="K3" s="122" t="inlineStr">
        <is>
          <t>'R3'</t>
        </is>
      </c>
      <c r="L3" s="123" t="n"/>
      <c r="O3" s="110" t="inlineStr">
        <is>
          <t>しない</t>
        </is>
      </c>
      <c r="Q3" s="124" t="inlineStr">
        <is>
          <t>（无历史映射 — 可能为接口内部字段）</t>
        </is>
      </c>
      <c r="R3" s="124" t="inlineStr">
        <is>
          <t>—</t>
        </is>
      </c>
      <c r="S3" s="124" t="inlineStr">
        <is>
          <t>业务词典判定：接口文件/报文控制字段，不映射</t>
        </is>
      </c>
    </row>
    <row r="4" ht="23.1" customHeight="1" s="99">
      <c r="A4" s="125" t="n">
        <v>2</v>
      </c>
      <c r="B4" s="126" t="inlineStr">
        <is>
          <t>03</t>
        </is>
      </c>
      <c r="C4" s="127" t="inlineStr">
        <is>
          <t>出荷日</t>
        </is>
      </c>
      <c r="D4" s="128" t="inlineStr">
        <is>
          <t>DSYKDDD</t>
        </is>
      </c>
      <c r="E4" s="116" t="inlineStr">
        <is>
          <t>C</t>
        </is>
      </c>
      <c r="F4" s="129" t="n">
        <v>6</v>
      </c>
      <c r="G4" s="130" t="n"/>
      <c r="H4" s="131" t="n">
        <v>3</v>
      </c>
      <c r="I4" s="132" t="n">
        <v>6</v>
      </c>
      <c r="J4" s="133" t="n"/>
      <c r="K4" s="134" t="inlineStr">
        <is>
          <t>YYMMDD</t>
        </is>
      </c>
      <c r="L4" s="135" t="n"/>
      <c r="Q4" s="136" t="inlineStr">
        <is>
          <t>LIKP.WADAT（計画在庫移動日付）</t>
        </is>
      </c>
      <c r="R4" s="137" t="inlineStr">
        <is>
          <t>需确认</t>
        </is>
      </c>
      <c r="S4" s="138" t="inlineStr">
        <is>
          <t>历史上存在多种映射方式，「計画在庫移動日付」（LIKP.WADAT）与「実在庫移動日付」（LIKP.WADAT_IST）频次相近。两个 SAP 字段语义不同，请根据实际业务判断应使用哪一个。</t>
        </is>
      </c>
    </row>
    <row r="5" ht="23.1" customHeight="1" s="99">
      <c r="A5" s="125" t="n">
        <v>3</v>
      </c>
      <c r="B5" s="126" t="inlineStr">
        <is>
          <t>03</t>
        </is>
      </c>
      <c r="C5" s="127" t="inlineStr">
        <is>
          <t>出荷連絡No</t>
        </is>
      </c>
      <c r="D5" s="128" t="inlineStr">
        <is>
          <t>BSYR</t>
        </is>
      </c>
      <c r="E5" s="116" t="inlineStr">
        <is>
          <t>C</t>
        </is>
      </c>
      <c r="F5" s="129" t="n">
        <v>8</v>
      </c>
      <c r="G5" s="130" t="n"/>
      <c r="H5" s="131" t="n">
        <v>9</v>
      </c>
      <c r="I5" s="132" t="n">
        <v>8</v>
      </c>
      <c r="J5" s="133" t="n"/>
      <c r="K5" s="134" t="n"/>
      <c r="L5" s="135" t="n"/>
      <c r="Q5" s="139" t="inlineStr">
        <is>
          <t>LIKP.VBELN（出荷伝票）</t>
        </is>
      </c>
      <c r="R5" s="140" t="inlineStr">
        <is>
          <t>★★</t>
        </is>
      </c>
      <c r="S5" s="141" t="inlineStr">
        <is>
          <t>主要映射是「出荷伝票」（LIKP.VBELN），也有若干映射到「購買伝票」（EKKO.EBELN）。请结合业务判断。</t>
        </is>
      </c>
    </row>
    <row r="6" ht="23.1" customHeight="1" s="99">
      <c r="A6" s="125" t="n">
        <v>4</v>
      </c>
      <c r="B6" s="126" t="inlineStr">
        <is>
          <t>03</t>
        </is>
      </c>
      <c r="C6" s="127" t="inlineStr">
        <is>
          <t>出荷連絡L#</t>
        </is>
      </c>
      <c r="D6" s="128" t="inlineStr">
        <is>
          <t>BSYRGYO</t>
        </is>
      </c>
      <c r="E6" s="116" t="inlineStr">
        <is>
          <t>C</t>
        </is>
      </c>
      <c r="F6" s="129" t="n">
        <v>1</v>
      </c>
      <c r="G6" s="130" t="n"/>
      <c r="H6" s="131" t="n">
        <v>17</v>
      </c>
      <c r="I6" s="132" t="n">
        <v>1</v>
      </c>
      <c r="J6" s="133" t="n"/>
      <c r="K6" s="134" t="n"/>
      <c r="L6" s="135" t="n"/>
      <c r="N6" s="142" t="inlineStr">
        <is>
          <t>保存フォルダ</t>
        </is>
      </c>
      <c r="O6" s="143" t="inlineStr">
        <is>
          <t>C:\TEMP\</t>
        </is>
      </c>
      <c r="P6" s="144" t="n"/>
      <c r="Q6" s="139" t="inlineStr">
        <is>
          <t>LIPS.POSNR（出荷明細）</t>
        </is>
      </c>
      <c r="R6" s="140" t="inlineStr">
        <is>
          <t>★★★</t>
        </is>
      </c>
      <c r="S6" s="141" t="inlineStr">
        <is>
          <t>历史上一致映射到「出荷明細」（LIPS.POSNR），共 3 次，参考：IFZ9000037、IFZ9000172、IFZ9000173。建议直接采用。</t>
        </is>
      </c>
    </row>
    <row r="7" ht="23.1" customHeight="1" s="99">
      <c r="A7" s="125" t="n">
        <v>5</v>
      </c>
      <c r="B7" s="126" t="inlineStr">
        <is>
          <t>03</t>
        </is>
      </c>
      <c r="C7" s="127" t="inlineStr">
        <is>
          <t>出荷連絡枝番</t>
        </is>
      </c>
      <c r="D7" s="128" t="inlineStr">
        <is>
          <t>BSYKRENEDA</t>
        </is>
      </c>
      <c r="E7" s="116" t="inlineStr">
        <is>
          <t>C</t>
        </is>
      </c>
      <c r="F7" s="129" t="n">
        <v>3</v>
      </c>
      <c r="G7" s="130" t="n"/>
      <c r="H7" s="131" t="n">
        <v>18</v>
      </c>
      <c r="I7" s="132" t="n">
        <v>3</v>
      </c>
      <c r="J7" s="133" t="n"/>
      <c r="K7" s="134" t="n"/>
      <c r="L7" s="135" t="n"/>
      <c r="N7" s="145" t="inlineStr">
        <is>
          <t>ファイル名</t>
        </is>
      </c>
      <c r="O7" s="146" t="inlineStr">
        <is>
          <t>RS020</t>
        </is>
      </c>
      <c r="P7" s="147" t="inlineStr">
        <is>
          <t>( 1)</t>
        </is>
      </c>
      <c r="Q7" s="124" t="inlineStr">
        <is>
          <t>（无历史映射 — 可能为接口内部字段）</t>
        </is>
      </c>
      <c r="R7" s="124" t="inlineStr">
        <is>
          <t>—</t>
        </is>
      </c>
      <c r="S7" s="124" t="inlineStr">
        <is>
          <t>业务词典判定：接口内部序号/枝番，通常不映射 SAP 表</t>
        </is>
      </c>
    </row>
    <row r="8" ht="23.1" customHeight="1" s="99">
      <c r="A8" s="125" t="n">
        <v>6</v>
      </c>
      <c r="B8" s="126" t="inlineStr">
        <is>
          <t>03</t>
        </is>
      </c>
      <c r="C8" s="148" t="inlineStr">
        <is>
          <t>受付No</t>
        </is>
      </c>
      <c r="D8" s="115" t="inlineStr">
        <is>
          <t>BUKE</t>
        </is>
      </c>
      <c r="E8" s="116" t="inlineStr">
        <is>
          <t>C</t>
        </is>
      </c>
      <c r="F8" s="129" t="n">
        <v>8</v>
      </c>
      <c r="G8" s="118" t="n"/>
      <c r="H8" s="131" t="n">
        <v>21</v>
      </c>
      <c r="I8" s="120" t="n">
        <v>8</v>
      </c>
      <c r="J8" s="121" t="n"/>
      <c r="K8" s="134" t="n"/>
      <c r="L8" s="135" t="n"/>
      <c r="N8" s="145" t="inlineStr">
        <is>
          <t>自動計算する？</t>
        </is>
      </c>
      <c r="O8" s="149" t="inlineStr">
        <is>
          <t>する</t>
        </is>
      </c>
      <c r="P8" s="144" t="n"/>
      <c r="Q8" s="139" t="inlineStr">
        <is>
          <t>VBAK.VBELN（販売伝票）</t>
        </is>
      </c>
      <c r="R8" s="140" t="inlineStr">
        <is>
          <t>★★</t>
        </is>
      </c>
      <c r="S8" s="141" t="inlineStr">
        <is>
          <t>多数历史映射到「販売伝票」（VBAK.VBELN），少数映射到「参照伝票」（LIKP.VGBEL）。建议采用主选项，除非业务场景特殊。</t>
        </is>
      </c>
    </row>
    <row r="9" ht="23.1" customHeight="1" s="99">
      <c r="A9" s="125" t="n">
        <v>7</v>
      </c>
      <c r="B9" s="126" t="inlineStr">
        <is>
          <t>03</t>
        </is>
      </c>
      <c r="C9" s="148" t="inlineStr">
        <is>
          <t>受付L#</t>
        </is>
      </c>
      <c r="D9" s="128" t="inlineStr">
        <is>
          <t>BUKEGYO</t>
        </is>
      </c>
      <c r="E9" s="116" t="inlineStr">
        <is>
          <t>C</t>
        </is>
      </c>
      <c r="F9" s="129" t="n">
        <v>1</v>
      </c>
      <c r="G9" s="130" t="n"/>
      <c r="H9" s="131" t="n">
        <v>29</v>
      </c>
      <c r="I9" s="132" t="n">
        <v>1</v>
      </c>
      <c r="J9" s="133" t="n"/>
      <c r="K9" s="134" t="n"/>
      <c r="L9" s="135" t="n"/>
      <c r="Q9" s="139" t="inlineStr">
        <is>
          <t>VBAP.POSNR（販売伝票明細）</t>
        </is>
      </c>
      <c r="R9" s="140" t="inlineStr">
        <is>
          <t>★★★</t>
        </is>
      </c>
      <c r="S9" s="141" t="inlineStr">
        <is>
          <t>历史上一致映射到「販売伝票明細」（VBAP.POSNR），共 2 次，参考：IFZ9000172、IFZ9000173。建议直接采用。</t>
        </is>
      </c>
    </row>
    <row r="10" ht="23.1" customHeight="1" s="99">
      <c r="A10" s="125" t="n">
        <v>8</v>
      </c>
      <c r="B10" s="126" t="inlineStr">
        <is>
          <t>03</t>
        </is>
      </c>
      <c r="C10" s="148" t="inlineStr">
        <is>
          <t>便コード</t>
        </is>
      </c>
      <c r="D10" s="128" t="inlineStr">
        <is>
          <t>BYUS</t>
        </is>
      </c>
      <c r="E10" s="116" t="inlineStr">
        <is>
          <t>C</t>
        </is>
      </c>
      <c r="F10" s="129" t="n">
        <v>2</v>
      </c>
      <c r="G10" s="130" t="n"/>
      <c r="H10" s="131" t="n">
        <v>30</v>
      </c>
      <c r="I10" s="132" t="n">
        <v>2</v>
      </c>
      <c r="J10" s="133" t="n"/>
      <c r="K10" s="134" t="n"/>
      <c r="L10" s="135" t="n"/>
      <c r="Q10" s="139" t="inlineStr">
        <is>
          <t>VBKD.VSART（出荷タイプ）</t>
        </is>
      </c>
      <c r="R10" s="140" t="inlineStr">
        <is>
          <t>★★★</t>
        </is>
      </c>
      <c r="S10" s="141" t="inlineStr">
        <is>
          <t>历史上一致映射到「出荷タイプ」（VBKD.VSART），共 5 次，参考：IFZ9000100、IFZ9000102、IFZ9000172。建议直接采用。</t>
        </is>
      </c>
    </row>
    <row r="11" ht="23.1" customHeight="1" s="99">
      <c r="A11" s="125" t="n">
        <v>9</v>
      </c>
      <c r="B11" s="126" t="inlineStr">
        <is>
          <t>03</t>
        </is>
      </c>
      <c r="C11" s="148" t="inlineStr">
        <is>
          <t>運送会社コード</t>
        </is>
      </c>
      <c r="D11" s="128" t="inlineStr">
        <is>
          <t>BUNS</t>
        </is>
      </c>
      <c r="E11" s="116" t="inlineStr">
        <is>
          <t>C</t>
        </is>
      </c>
      <c r="F11" s="129" t="n">
        <v>6</v>
      </c>
      <c r="G11" s="130" t="n"/>
      <c r="H11" s="131" t="n">
        <v>32</v>
      </c>
      <c r="I11" s="132" t="n">
        <v>6</v>
      </c>
      <c r="J11" s="133" t="n"/>
      <c r="K11" s="134" t="n"/>
      <c r="L11" s="135" t="n"/>
      <c r="Q11" s="139" t="inlineStr">
        <is>
          <t>LIPS.AESKD（得意先設計変更ステータス）</t>
        </is>
      </c>
      <c r="R11" s="140" t="inlineStr">
        <is>
          <t>★★★</t>
        </is>
      </c>
      <c r="S11" s="141" t="inlineStr">
        <is>
          <t>历史上一致映射到「得意先設計変更ステータス」（LIPS.AESKD），共 4 次，参考：IFZ9000172、IFZ9000173。建议直接采用。</t>
        </is>
      </c>
    </row>
    <row r="12" ht="23.1" customHeight="1" s="99">
      <c r="A12" s="125" t="inlineStr">
        <is>
          <t>10</t>
        </is>
      </c>
      <c r="B12" s="126" t="inlineStr">
        <is>
          <t>03</t>
        </is>
      </c>
      <c r="C12" s="148" t="inlineStr">
        <is>
          <t>重量</t>
        </is>
      </c>
      <c r="D12" s="128" t="inlineStr">
        <is>
          <t>SGYU</t>
        </is>
      </c>
      <c r="E12" s="116" t="inlineStr">
        <is>
          <t>C</t>
        </is>
      </c>
      <c r="F12" s="129" t="n">
        <v>7</v>
      </c>
      <c r="G12" s="130" t="n"/>
      <c r="H12" s="131" t="n">
        <v>38</v>
      </c>
      <c r="I12" s="132" t="n">
        <v>7</v>
      </c>
      <c r="J12" s="133" t="n"/>
      <c r="K12" s="150" t="inlineStr">
        <is>
          <t>符号なし
PIC'9999999'</t>
        </is>
      </c>
      <c r="L12" s="135" t="n"/>
      <c r="Q12" s="139" t="inlineStr">
        <is>
          <t>LIPS.NTGEW+BRGEW（正味重量+総重量）</t>
        </is>
      </c>
      <c r="R12" s="140" t="inlineStr">
        <is>
          <t>★★★</t>
        </is>
      </c>
      <c r="S12" s="141" t="inlineStr">
        <is>
          <t>历史上一致映射到「正味重量+総重量」（LIPS.NTGEW+BRGEW），共 4 次，参考：IFZ9000172、IFZ9000173。建议直接采用。</t>
        </is>
      </c>
    </row>
    <row r="13" ht="23.1" customHeight="1" s="99">
      <c r="A13" s="125" t="inlineStr">
        <is>
          <t>11</t>
        </is>
      </c>
      <c r="B13" s="126" t="inlineStr">
        <is>
          <t>03</t>
        </is>
      </c>
      <c r="C13" s="148" t="inlineStr">
        <is>
          <t>口数</t>
        </is>
      </c>
      <c r="D13" s="128" t="inlineStr">
        <is>
          <t>SKUC</t>
        </is>
      </c>
      <c r="E13" s="116" t="inlineStr">
        <is>
          <t>C</t>
        </is>
      </c>
      <c r="F13" s="129" t="n">
        <v>3</v>
      </c>
      <c r="G13" s="130" t="n"/>
      <c r="H13" s="131" t="n">
        <v>45</v>
      </c>
      <c r="I13" s="151" t="n">
        <v>3</v>
      </c>
      <c r="J13" s="133" t="n"/>
      <c r="K13" s="150" t="inlineStr">
        <is>
          <t>符号なし　PIC'999'</t>
        </is>
      </c>
      <c r="L13" s="135" t="n"/>
      <c r="N13" s="152" t="n"/>
      <c r="Q13" s="124" t="inlineStr">
        <is>
          <t>（无历史映射 — 可能为接口内部字段）</t>
        </is>
      </c>
      <c r="R13" s="124" t="inlineStr">
        <is>
          <t>—</t>
        </is>
      </c>
      <c r="S13" s="124" t="inlineStr">
        <is>
          <t>业务词典判定：[AI 判断] 项目代码 SKUC『口数』为 C(3) PIC'999'，最大值仅 999，且类型为短 CHAR；按类型/长度约束规则，SAP 真正的数量字段（LIPS.LFIMG / VBAP.KWMENG / MENGE）均为 QUAN(13,3) 精度数值，短 C(3) 字段类型不兼容。该字段语义为『出荷连络一件下的包装件数（口数）』，属接口侧 API 聚合的件数统计值（与每明细行的实际出荷数量 LFIMG 不同，LFIMG 已由其他字段承载于 LIPS 明细）。历史知识库中 IFZ9000101 将『荷札№・口数』强映到 LIPS.AESKD+EAN11 属混合堆叠的不规范映射，不应沿用。综合：判为接口内部聚合统计字段，不映射 SAP。</t>
        </is>
      </c>
    </row>
    <row r="14" ht="23.1" customHeight="1" s="99">
      <c r="A14" s="125" t="inlineStr">
        <is>
          <t>12</t>
        </is>
      </c>
      <c r="B14" s="126" t="inlineStr">
        <is>
          <t>03</t>
        </is>
      </c>
      <c r="C14" s="148" t="inlineStr">
        <is>
          <t>品番</t>
        </is>
      </c>
      <c r="D14" s="128" t="inlineStr">
        <is>
          <t>BHIN</t>
        </is>
      </c>
      <c r="E14" s="116" t="inlineStr">
        <is>
          <t>C</t>
        </is>
      </c>
      <c r="F14" s="129" t="n">
        <v>10</v>
      </c>
      <c r="G14" s="130" t="n"/>
      <c r="H14" s="131" t="n">
        <v>48</v>
      </c>
      <c r="I14" s="151" t="n">
        <v>10</v>
      </c>
      <c r="J14" s="133" t="n"/>
      <c r="K14" s="134" t="n"/>
      <c r="L14" s="135" t="n"/>
      <c r="Q14" s="136" t="inlineStr">
        <is>
          <t>VBAP.MATNR（品目コード）</t>
        </is>
      </c>
      <c r="R14" s="137" t="inlineStr">
        <is>
          <t>★</t>
        </is>
      </c>
      <c r="S14" s="138" t="inlineStr">
        <is>
          <t>历史上存在多种映射方式，「品目コード」（VBAP.MATNR）与「品目コード」（VBRP.MATNR）频次相近。两个 SAP 字段语义不同，请根据实际业务判断应使用哪一个。</t>
        </is>
      </c>
    </row>
    <row r="15" ht="23.1" customHeight="1" s="99">
      <c r="A15" s="125" t="inlineStr">
        <is>
          <t>13</t>
        </is>
      </c>
      <c r="B15" s="126" t="inlineStr">
        <is>
          <t>03</t>
        </is>
      </c>
      <c r="C15" s="148" t="inlineStr">
        <is>
          <t>品名</t>
        </is>
      </c>
      <c r="D15" s="128" t="inlineStr">
        <is>
          <t>NHINKN</t>
        </is>
      </c>
      <c r="E15" s="116" t="inlineStr">
        <is>
          <t>C</t>
        </is>
      </c>
      <c r="F15" s="129" t="n">
        <v>20</v>
      </c>
      <c r="G15" s="130" t="n"/>
      <c r="H15" s="131" t="n">
        <v>58</v>
      </c>
      <c r="I15" s="151" t="n">
        <v>20</v>
      </c>
      <c r="J15" s="133" t="n"/>
      <c r="K15" s="134" t="n"/>
      <c r="L15" s="135" t="n"/>
      <c r="Q15" s="139" t="inlineStr">
        <is>
          <t>MAKT.MAKTX（品目テキスト）</t>
        </is>
      </c>
      <c r="R15" s="140" t="inlineStr">
        <is>
          <t>★★★</t>
        </is>
      </c>
      <c r="S15" s="141" t="inlineStr">
        <is>
          <t>多数历史映射到「品目テキスト」（MAKT.MAKTX），少数映射到「受注明細のテキスト (短)」（VBAP.ARKTX）。建议采用主选项，除非业务场景特殊。</t>
        </is>
      </c>
    </row>
    <row r="16" ht="23.1" customHeight="1" s="99">
      <c r="A16" s="125" t="inlineStr">
        <is>
          <t>14</t>
        </is>
      </c>
      <c r="B16" s="126" t="inlineStr">
        <is>
          <t>03</t>
        </is>
      </c>
      <c r="C16" s="148" t="inlineStr">
        <is>
          <t>荷札№</t>
        </is>
      </c>
      <c r="D16" s="153" t="inlineStr">
        <is>
          <t>BNFD</t>
        </is>
      </c>
      <c r="E16" s="116" t="inlineStr">
        <is>
          <t>C</t>
        </is>
      </c>
      <c r="F16" s="129" t="n">
        <v>10</v>
      </c>
      <c r="G16" s="130" t="n"/>
      <c r="H16" s="131" t="n">
        <v>78</v>
      </c>
      <c r="I16" s="151" t="n">
        <v>10</v>
      </c>
      <c r="J16" s="154" t="n"/>
      <c r="K16" s="134" t="inlineStr">
        <is>
          <t>MMDD+PC＋連番4桁</t>
        </is>
      </c>
      <c r="L16" s="135" t="n"/>
      <c r="Q16" s="139" t="inlineStr">
        <is>
          <t>[AI推测] LIPS.AESKD+EAN11（得意先設計変更ステータス+国際商品コード (EAN/UPC)）</t>
        </is>
      </c>
      <c r="R16" s="140" t="inlineStr">
        <is>
          <t>★（AI推测）</t>
        </is>
      </c>
      <c r="S16" s="141" t="inlineStr">
        <is>
          <t>AI 推测（无历史直接命中，信心 0.78）：推荐「得意先設計変更ステータス+国際商品コード (EAN/UPC)」（LIPS.AESKD+EAN11）——知识库中『荷札』关键词命中的稳定历史映射即 LIPS.AESKD+EAN11（拆字段存放荷札+口数）。类型兼容：C(10) 字符型代码（MMDD+PC+連番4桁），AESKD(CHAR6)+EAN11(CHAR18) 合计承载 24 字符，足以放下 10 位荷札编号；本接口已确定的 LIPS 字段（POSNR/AESKD/NTGEW+BRGEW）也证明本書在 LIPS 上下文，复用同 customer 的拆字段惯例可对齐。。备选：VEKP.EXIDV（外部ハンドリングユニット識別） / LIPS.VBELN_EX（外部識別 1）。AI 推断仅作参考，请务必人工复核。</t>
        </is>
      </c>
    </row>
    <row r="17" ht="23.1" customHeight="1" s="99">
      <c r="A17" s="125" t="inlineStr">
        <is>
          <t>15</t>
        </is>
      </c>
      <c r="B17" s="126" t="inlineStr">
        <is>
          <t>03</t>
        </is>
      </c>
      <c r="C17" s="148" t="inlineStr">
        <is>
          <t>出荷連絡数</t>
        </is>
      </c>
      <c r="D17" s="155" t="inlineStr">
        <is>
          <t>SRSYK</t>
        </is>
      </c>
      <c r="E17" s="116" t="inlineStr">
        <is>
          <t>C</t>
        </is>
      </c>
      <c r="F17" s="129" t="n">
        <v>5</v>
      </c>
      <c r="G17" s="130" t="n"/>
      <c r="H17" s="131" t="n">
        <v>88</v>
      </c>
      <c r="I17" s="151" t="n">
        <v>5</v>
      </c>
      <c r="J17" s="154" t="n"/>
      <c r="K17" s="134" t="n"/>
      <c r="L17" s="135" t="n"/>
      <c r="Q17" s="124" t="inlineStr">
        <is>
          <t>（无历史映射 — 可能为接口内部字段）</t>
        </is>
      </c>
      <c r="R17" s="124" t="inlineStr">
        <is>
          <t>—</t>
        </is>
      </c>
      <c r="S17" s="124" t="inlineStr">
        <is>
          <t>业务词典判定：[AI 判断] 本字段类型为 C(5)，长度仅 5 位，且字段名为『出荷連絡数』（出荷連絡 + 数后缀）。结合本接口为 MQ 入向消息（国内出荷連絡データ MQ），且已跳过同类接口控制字段（ファイルＩＤ/出荷連絡枝番/入出庫連番/予備），此字段极可能是 MQ 消息头中表示『本批出荷連絡明細件数』的 API 聚合计数值，属于接口内部控制字段。SAP 中真正的数量字段（LIPS.LFIMG/VBAP.KWMENG）为 QUAN 类型（精度 13+3），与 C(5) 类型不兼容；按类型约束规则『短 C 字段表示的「数」多为 API 聚合的件数统计，应判 skip』，且业务上 SAP 无对应『出荷連絡件数』标准字段，故判定为接口内部字段不需映射。</t>
        </is>
      </c>
    </row>
    <row r="18" ht="23.1" customHeight="1" s="99">
      <c r="A18" s="125" t="inlineStr">
        <is>
          <t>16</t>
        </is>
      </c>
      <c r="B18" s="126" t="inlineStr">
        <is>
          <t>03</t>
        </is>
      </c>
      <c r="C18" s="148" t="inlineStr">
        <is>
          <t>出荷連絡不足数</t>
        </is>
      </c>
      <c r="D18" s="155" t="inlineStr">
        <is>
          <t>SSYKRENFSK</t>
        </is>
      </c>
      <c r="E18" s="116" t="inlineStr">
        <is>
          <t>C</t>
        </is>
      </c>
      <c r="F18" s="129" t="n">
        <v>5</v>
      </c>
      <c r="G18" s="130" t="n"/>
      <c r="H18" s="131" t="n">
        <v>93</v>
      </c>
      <c r="I18" s="151" t="n">
        <v>5</v>
      </c>
      <c r="J18" s="154" t="n"/>
      <c r="K18" s="134" t="n"/>
      <c r="L18" s="135" t="n"/>
      <c r="Q18" s="124" t="inlineStr">
        <is>
          <t>（无历史映射 — 可能为接口内部字段）</t>
        </is>
      </c>
      <c r="R18" s="124" t="inlineStr">
        <is>
          <t>—</t>
        </is>
      </c>
      <c r="S18" s="124" t="inlineStr">
        <is>
          <t>业务词典判定：[AI 判断] C(5) 短字符不兼容 SAP 的 QUAN 数量字段（LIPS.LFIMG/VBAP.KWMENG 等精度为 13+3 的 QUAN）。虽然字段名含『不足数』后缀且业务上是出荷连络场景下的『不足数量』，但 SAP 标准出荷/受注表中并无 C(5) 长度的『不足数』短字段对应——LIPS/VBAP 体系下的差异/不足数量都是 QUAN 型。该字段长度仅 5 位、且备注为空，更像是接口侧对件数/不足明细数的聚合计数（API 内部统计用），不宜强塞到 SAP 的精确数量字段。判为接口内部字段，不映射。</t>
        </is>
      </c>
    </row>
    <row r="19" ht="23.1" customHeight="1" s="99">
      <c r="A19" s="125" t="inlineStr">
        <is>
          <t>17</t>
        </is>
      </c>
      <c r="B19" s="126" t="inlineStr">
        <is>
          <t>03</t>
        </is>
      </c>
      <c r="C19" s="148" t="inlineStr">
        <is>
          <t>入出庫形態</t>
        </is>
      </c>
      <c r="D19" s="155" t="inlineStr">
        <is>
          <t>CNSKKTI</t>
        </is>
      </c>
      <c r="E19" s="116" t="inlineStr">
        <is>
          <t>C</t>
        </is>
      </c>
      <c r="F19" s="129" t="n">
        <v>3</v>
      </c>
      <c r="G19" s="130" t="n"/>
      <c r="H19" s="131" t="n">
        <v>98</v>
      </c>
      <c r="I19" s="151" t="n">
        <v>3</v>
      </c>
      <c r="J19" s="154" t="n"/>
      <c r="K19" s="134" t="n"/>
      <c r="L19" s="135" t="n"/>
      <c r="Q19" s="136" t="inlineStr">
        <is>
          <t>[AI推测] LIKP.LFART（納品タイプ）</t>
        </is>
      </c>
      <c r="R19" s="137" t="inlineStr">
        <is>
          <t>AI推测 需复核</t>
        </is>
      </c>
      <c r="S19" s="138" t="inlineStr">
        <is>
          <t>AI 推测（无历史直接命中，信心 0.82）：推荐「納品タイプ」（LIKP.LFART）——字段名『入出庫形態』含『形態』关键词，命中业务词典『形態|種類|区分|タイプ』规则；本接口为出荷連絡（LIKP/LIPS 家族，已确定 LIKP.VBELN/WADAT），出荷側分类对应 LIKP.LFART。LFART 为 CHAR(4)，C(3) 完全兼容（短字符代码字段）。。备选：VBAK.AUART（販売伝票タイプ） / LIKP.VBTYP（SD伝票カテゴリ）。AI 推断仅作参考，请务必人工复核。</t>
        </is>
      </c>
    </row>
    <row r="20" ht="23.1" customHeight="1" s="99">
      <c r="A20" s="125" t="inlineStr">
        <is>
          <t>18</t>
        </is>
      </c>
      <c r="B20" s="126" t="inlineStr">
        <is>
          <t>03</t>
        </is>
      </c>
      <c r="C20" s="148" t="inlineStr">
        <is>
          <t>入出庫連番</t>
        </is>
      </c>
      <c r="D20" s="155" t="inlineStr">
        <is>
          <t>BNSKRBN</t>
        </is>
      </c>
      <c r="E20" s="116" t="inlineStr">
        <is>
          <t>C</t>
        </is>
      </c>
      <c r="F20" s="129" t="n">
        <v>8</v>
      </c>
      <c r="G20" s="130" t="n"/>
      <c r="H20" s="131" t="n">
        <v>101</v>
      </c>
      <c r="I20" s="151" t="n">
        <v>8</v>
      </c>
      <c r="J20" s="154" t="n"/>
      <c r="K20" s="134" t="inlineStr">
        <is>
          <t>B扱いはﾌﾞﾗﾝｸ</t>
        </is>
      </c>
      <c r="L20" s="135" t="n"/>
      <c r="Q20" s="124" t="inlineStr">
        <is>
          <t>（无历史映射 — 可能为接口内部字段）</t>
        </is>
      </c>
      <c r="R20" s="124" t="inlineStr">
        <is>
          <t>—</t>
        </is>
      </c>
      <c r="S20" s="124" t="inlineStr">
        <is>
          <t>业务词典判定：接口内部序号/枝番，通常不映射 SAP 表</t>
        </is>
      </c>
    </row>
    <row r="21" ht="23.1" customHeight="1" s="99">
      <c r="A21" s="125" t="inlineStr">
        <is>
          <t>19</t>
        </is>
      </c>
      <c r="B21" s="126" t="inlineStr">
        <is>
          <t>03</t>
        </is>
      </c>
      <c r="C21" s="148" t="inlineStr">
        <is>
          <t>ケース数</t>
        </is>
      </c>
      <c r="D21" s="155" t="inlineStr">
        <is>
          <t>SCAS</t>
        </is>
      </c>
      <c r="E21" s="116" t="inlineStr">
        <is>
          <t>C</t>
        </is>
      </c>
      <c r="F21" s="129" t="n">
        <v>3</v>
      </c>
      <c r="G21" s="130" t="n"/>
      <c r="H21" s="131" t="n">
        <v>109</v>
      </c>
      <c r="I21" s="151" t="n">
        <v>3</v>
      </c>
      <c r="J21" s="154" t="n"/>
      <c r="K21" s="134" t="inlineStr">
        <is>
          <t>符号なし　PIC'999'</t>
        </is>
      </c>
      <c r="L21" s="135" t="n"/>
      <c r="Q21" s="124" t="inlineStr">
        <is>
          <t>（无历史映射 — 可能为接口内部字段）</t>
        </is>
      </c>
      <c r="R21" s="124" t="inlineStr">
        <is>
          <t>—</t>
        </is>
      </c>
      <c r="S21" s="124" t="inlineStr">
        <is>
          <t>业务词典判定：[AI 判断] ケース数 为 C(3) PIC'999' 短字符无符号数（最大值 999），按类型/长度规则判定为接口侧聚合的件数统计：SAP 数量字段（VEPO.VEMNG / LIPS.LFIMG / VBAP.KWMENG 等）均为 QUAN(13,3) 精确数值，类型不兼容，严禁强塞；而 SAP 标准表中并无与『出荷ケース数』直接对应的 NUMC(3) 字段——历史上対向系统（関連メーカ・全農）将『ケース』相关字段都映到 VEKP.EXIDV/VEPO.UNVEL 这类荷役単位 ID（CHAR），从未映到件数计数。本接口 LIKP/LIPS 家族下出荷数量已由 LIPS.LFIMG（重量已由 LIPS.NTGEW+BRGEW）承载，本字段是 MQ 报文层面对明细行 ケース 数的汇总，属接口内部聚合值，不需映射 SAP 字段。</t>
        </is>
      </c>
    </row>
    <row r="22" ht="23.1" customHeight="1" s="99">
      <c r="A22" s="125" t="inlineStr">
        <is>
          <t>20</t>
        </is>
      </c>
      <c r="B22" s="126" t="inlineStr">
        <is>
          <t>03</t>
        </is>
      </c>
      <c r="C22" s="148" t="inlineStr">
        <is>
          <t>荷集めボックスNo</t>
        </is>
      </c>
      <c r="D22" s="155" t="inlineStr">
        <is>
          <t>BNSYBOX</t>
        </is>
      </c>
      <c r="E22" s="116" t="inlineStr">
        <is>
          <t>C</t>
        </is>
      </c>
      <c r="F22" s="129" t="n">
        <v>5</v>
      </c>
      <c r="G22" s="130" t="n"/>
      <c r="H22" s="131" t="n">
        <v>112</v>
      </c>
      <c r="I22" s="151" t="n">
        <v>5</v>
      </c>
      <c r="J22" s="154" t="n"/>
      <c r="K22" s="134" t="n"/>
      <c r="L22" s="135" t="n"/>
      <c r="Q22" s="136" t="inlineStr">
        <is>
          <t>[AI推测] VEKP.EXIDV（外部ハンドリングユニット識別）</t>
        </is>
      </c>
      <c r="R22" s="137" t="inlineStr">
        <is>
          <t>★（AI推测）</t>
        </is>
      </c>
      <c r="S22" s="138" t="inlineStr">
        <is>
          <t>AI 推测（无历史直接命中，信心 0.78）：推荐「外部ハンドリングユニット識別」（VEKP.EXIDV）——项目名『荷集めボックスNo』指向搬送単位/HU（BOX 命中业务词典 VEKP/VEPO）；C(5) 短字符与 EXIDV 的 CHAR 型兼容（EXIDV 标准长度 20，可容纳 5 位编码）。出荷連絡(MQ) 入向场景下，外部系统传入的 BOX No 通常以外部 HU ID 形式落到 VEKP.EXIDV。。备选：VEKP.VENUM（内部ハンドリングユニット番号） / LIPS.VEMNG（梱包数量）。AI 推断仅作参考，请务必人工复核。</t>
        </is>
      </c>
    </row>
    <row r="23" ht="23.1" customHeight="1" s="99">
      <c r="A23" s="125" t="inlineStr">
        <is>
          <t>21</t>
        </is>
      </c>
      <c r="B23" s="126" t="inlineStr">
        <is>
          <t>03</t>
        </is>
      </c>
      <c r="C23" s="148" t="inlineStr">
        <is>
          <t>集約得意先納所</t>
        </is>
      </c>
      <c r="D23" s="155" t="inlineStr">
        <is>
          <t>BSYUTKUNOS</t>
        </is>
      </c>
      <c r="E23" s="116" t="inlineStr">
        <is>
          <t>C</t>
        </is>
      </c>
      <c r="F23" s="129" t="n">
        <v>9</v>
      </c>
      <c r="G23" s="130" t="n"/>
      <c r="H23" s="131" t="n">
        <v>117</v>
      </c>
      <c r="I23" s="151" t="n">
        <v>9</v>
      </c>
      <c r="J23" s="154" t="n"/>
      <c r="K23" s="134" t="inlineStr">
        <is>
          <t>得意先6桁+納所3桁</t>
        </is>
      </c>
      <c r="L23" s="135" t="n"/>
      <c r="Q23" s="136" t="inlineStr">
        <is>
          <t>得意先→BESG.KUNNR（得意先） ＋ 納所→LIKP.KUNNR（出荷先）</t>
        </is>
      </c>
      <c r="R23" s="137" t="inlineStr">
        <is>
          <t>复合字段</t>
        </is>
      </c>
      <c r="S23" s="138" t="inlineStr">
        <is>
          <t>本字段由多个子字段拼接，下列对每个子字段分别给出推荐：
得意先（0.67）：主要映射是「得意先」（BESG.KUNNR），也有若干映射到「受注先」（VBAK.KUNNR）。请结合业务判断。
納所（0.50）：历史上存在多种映射方式，「出荷先」（LIKP.KUNNR）与「取引先機能出荷先の得意先コード」（VBPA.KUNNR）频次相近。两个 SAP 字段语义不同，请根据实际业务判断应使用哪一个。</t>
        </is>
      </c>
    </row>
    <row r="24" ht="23.1" customHeight="1" s="99">
      <c r="A24" s="125" t="inlineStr">
        <is>
          <t>22</t>
        </is>
      </c>
      <c r="B24" s="156" t="inlineStr">
        <is>
          <t>03</t>
        </is>
      </c>
      <c r="C24" s="157" t="inlineStr">
        <is>
          <t>メーカー略号</t>
        </is>
      </c>
      <c r="D24" s="158" t="inlineStr">
        <is>
          <t>BMEKRYG</t>
        </is>
      </c>
      <c r="E24" s="159" t="inlineStr">
        <is>
          <t>C</t>
        </is>
      </c>
      <c r="F24" s="160" t="n">
        <v>3</v>
      </c>
      <c r="G24" s="161" t="n"/>
      <c r="H24" s="162" t="n">
        <v>126</v>
      </c>
      <c r="I24" s="163" t="n">
        <v>3</v>
      </c>
      <c r="J24" s="154" t="n"/>
      <c r="K24" s="164" t="inlineStr">
        <is>
          <t>2017/10/04 追加</t>
        </is>
      </c>
      <c r="L24" s="135" t="n"/>
      <c r="Q24" s="139" t="inlineStr">
        <is>
          <t>VBAP.MATNR（品目コード）</t>
        </is>
      </c>
      <c r="R24" s="140" t="inlineStr">
        <is>
          <t>★★（历史仅1次，需复核）</t>
        </is>
      </c>
      <c r="S24" s="141" t="inlineStr">
        <is>
          <t>历史上一致映射到「品目コード」（VBAP.MATNR），共 1 次，参考：IFZ9000025。建议直接采用。</t>
        </is>
      </c>
    </row>
    <row r="25" ht="23.1" customHeight="1" s="99">
      <c r="A25" s="125" t="inlineStr">
        <is>
          <t>23</t>
        </is>
      </c>
      <c r="B25" s="156" t="inlineStr">
        <is>
          <t>03</t>
        </is>
      </c>
      <c r="C25" s="157" t="inlineStr">
        <is>
          <t>品番（20桁）</t>
        </is>
      </c>
      <c r="D25" s="158" t="inlineStr">
        <is>
          <t>BHIN20</t>
        </is>
      </c>
      <c r="E25" s="159" t="inlineStr">
        <is>
          <t>C</t>
        </is>
      </c>
      <c r="F25" s="160" t="n">
        <v>20</v>
      </c>
      <c r="G25" s="130" t="n"/>
      <c r="H25" s="162" t="n">
        <v>129</v>
      </c>
      <c r="I25" s="163" t="n">
        <v>20</v>
      </c>
      <c r="J25" s="154" t="n"/>
      <c r="K25" s="164" t="inlineStr">
        <is>
          <t>2017/10/04 追加</t>
        </is>
      </c>
      <c r="L25" s="135" t="n"/>
      <c r="Q25" s="139" t="inlineStr">
        <is>
          <t>[AI推测] VBAP.MATNR（品目コード）</t>
        </is>
      </c>
      <c r="R25" s="140" t="inlineStr">
        <is>
          <t>★（AI推测）</t>
        </is>
      </c>
      <c r="S25" s="141" t="inlineStr">
        <is>
          <t>AI 推测（无历史直接命中，信心 0.92）：推荐「品目コード」（VBAP.MATNR）——C(20) 与 SAP MATNR (CHAR 18/40) 长度兼容；本接口为出荷連絡（VBAK/VBAP/LIKP/LIPS 家族），同书已确定『品番(BHIN)→VBAP.MATNR』，知识库历史『品番→VBAP.MATNR×6』高频稳定，业务明細层应映 VBAP.MATNR。备选：MARA.MATNR（品目コード） / MAKT.MATNR（品目コード）。AI 推断仅作参考，请务必人工复核。</t>
        </is>
      </c>
    </row>
    <row r="26" ht="23.1" customHeight="1" s="99">
      <c r="A26" s="125" t="inlineStr">
        <is>
          <t>24</t>
        </is>
      </c>
      <c r="B26" s="126" t="inlineStr">
        <is>
          <t>03</t>
        </is>
      </c>
      <c r="C26" s="148" t="inlineStr">
        <is>
          <t>予備</t>
        </is>
      </c>
      <c r="D26" s="153" t="inlineStr">
        <is>
          <t>FIL1</t>
        </is>
      </c>
      <c r="E26" s="159" t="inlineStr">
        <is>
          <t>C</t>
        </is>
      </c>
      <c r="F26" s="160" t="n">
        <v>2</v>
      </c>
      <c r="G26" s="130" t="n"/>
      <c r="H26" s="162" t="n">
        <v>149</v>
      </c>
      <c r="I26" s="163" t="n">
        <v>2</v>
      </c>
      <c r="J26" s="154" t="n"/>
      <c r="K26" s="165" t="inlineStr">
        <is>
          <t>25→2
2017/10/04 変更</t>
        </is>
      </c>
      <c r="L26" s="135" t="n"/>
      <c r="Q26" s="124" t="inlineStr">
        <is>
          <t>（填充/占位，跳过映射）</t>
        </is>
      </c>
      <c r="R26" s="124" t="inlineStr">
        <is>
          <t>—</t>
        </is>
      </c>
      <c r="S26" s="124" t="inlineStr">
        <is>
          <t>填充/占位字段，无需映射。</t>
        </is>
      </c>
    </row>
    <row r="27" ht="23.1" customHeight="1" s="99">
      <c r="A27" s="125" t="inlineStr">
        <is>
          <t>25</t>
        </is>
      </c>
      <c r="B27" s="126" t="n"/>
      <c r="C27" s="148" t="n"/>
      <c r="D27" s="166" t="n"/>
      <c r="E27" s="116" t="n"/>
      <c r="F27" s="129" t="n"/>
      <c r="G27" s="130" t="n"/>
      <c r="H27" s="131">
        <f>IF(C27="","",IF(J26=0,SUM(H26,I26),SUM(H26,I26*J26)))</f>
        <v/>
      </c>
      <c r="I27" s="151">
        <f>IF(OR($E27="",$C27=""),0,IF($E27="C",$F27,IF($E27="G",$F27*2,IF($E27="P",TRUNC(($F27+$G27+2)/2),IF($E27="U",$F27+$G27,"Error")))))</f>
        <v/>
      </c>
      <c r="J27" s="167" t="n"/>
      <c r="K27" s="134" t="n"/>
      <c r="L27" s="135" t="n"/>
    </row>
    <row r="28" ht="23.1" customHeight="1" s="99">
      <c r="A28" s="125" t="inlineStr">
        <is>
          <t>26</t>
        </is>
      </c>
      <c r="B28" s="126" t="n"/>
      <c r="C28" s="148" t="n"/>
      <c r="D28" s="166" t="n"/>
      <c r="E28" s="116" t="n"/>
      <c r="F28" s="129" t="n"/>
      <c r="G28" s="130" t="n"/>
      <c r="H28" s="131">
        <f>IF(C28="","",IF(J27=0,SUM(H27,I27),SUM(H27,I27*J27)))</f>
        <v/>
      </c>
      <c r="I28" s="151">
        <f>IF(OR($E28="",$C28=""),0,IF($E28="C",$F28,IF($E28="G",$F28*2,IF($E28="P",TRUNC(($F28+$G28+2)/2),IF($E28="U",$F28+$G28,"Error")))))</f>
        <v/>
      </c>
      <c r="J28" s="167" t="n"/>
      <c r="K28" s="134" t="n"/>
      <c r="L28" s="135" t="n"/>
    </row>
    <row r="29" ht="23.1" customHeight="1" s="99">
      <c r="A29" s="125" t="inlineStr">
        <is>
          <t>27</t>
        </is>
      </c>
      <c r="B29" s="126" t="n"/>
      <c r="C29" s="148" t="n"/>
      <c r="D29" s="166" t="n"/>
      <c r="E29" s="126" t="n"/>
      <c r="F29" s="129" t="n"/>
      <c r="G29" s="168" t="n"/>
      <c r="H29" s="131">
        <f>IF(C29="","",IF(J28=0,SUM(H28,I28),SUM(H28,I28*J28)))</f>
        <v/>
      </c>
      <c r="I29" s="151">
        <f>IF(OR($E29="",$C29=""),0,IF($E29="C",$F29,IF($E29="G",$F29*2,IF($E29="P",TRUNC(($F29+$G29+2)/2),IF($E29="U",$F29+$G29,"Error")))))</f>
        <v/>
      </c>
      <c r="J29" s="167" t="n"/>
      <c r="K29" s="134" t="n"/>
      <c r="L29" s="135" t="n"/>
    </row>
    <row r="30" ht="23.1" customHeight="1" s="99">
      <c r="A30" s="125" t="inlineStr">
        <is>
          <t>28</t>
        </is>
      </c>
      <c r="B30" s="126" t="n"/>
      <c r="C30" s="148" t="n"/>
      <c r="D30" s="166" t="n"/>
      <c r="E30" s="126" t="n"/>
      <c r="F30" s="129" t="n"/>
      <c r="G30" s="168" t="n"/>
      <c r="H30" s="131">
        <f>IF(C30="","",IF(J29=0,SUM(H29,I29),SUM(H29,I29*J29)))</f>
        <v/>
      </c>
      <c r="I30" s="151">
        <f>IF(OR($E30="",$C30=""),0,IF($E30="C",$F30,IF($E30="G",$F30*2,IF($E30="P",TRUNC(($F30+$G30+2)/2),IF($E30="U",$F30+$G30,"Error")))))</f>
        <v/>
      </c>
      <c r="J30" s="167" t="n"/>
      <c r="K30" s="134" t="n"/>
      <c r="L30" s="135" t="n"/>
    </row>
    <row r="31" ht="23.1" customHeight="1" s="99">
      <c r="A31" s="125" t="inlineStr">
        <is>
          <t>29</t>
        </is>
      </c>
      <c r="B31" s="126" t="n"/>
      <c r="C31" s="148" t="n"/>
      <c r="D31" s="166" t="n"/>
      <c r="E31" s="126" t="n"/>
      <c r="F31" s="129" t="n"/>
      <c r="G31" s="168" t="n"/>
      <c r="H31" s="131">
        <f>IF(C31="","",IF(J30=0,SUM(H30,I30),SUM(H30,I30*J30)))</f>
        <v/>
      </c>
      <c r="I31" s="151">
        <f>IF(OR($E31="",$C31=""),0,IF($E31="C",$F31,IF($E31="G",$F31*2,IF($E31="P",TRUNC(($F31+$G31+2)/2),IF($E31="U",$F31+$G31,"Error")))))</f>
        <v/>
      </c>
      <c r="J31" s="167" t="n"/>
      <c r="K31" s="134" t="n"/>
      <c r="L31" s="135" t="n"/>
    </row>
    <row r="32" ht="23.1" customHeight="1" s="99">
      <c r="A32" s="169" t="inlineStr">
        <is>
          <t>30</t>
        </is>
      </c>
      <c r="B32" s="170" t="n"/>
      <c r="C32" s="171" t="n"/>
      <c r="D32" s="172" t="n"/>
      <c r="E32" s="170" t="n"/>
      <c r="F32" s="173" t="n"/>
      <c r="G32" s="174" t="n"/>
      <c r="H32" s="131">
        <f>IF(C32="","",IF(J31=0,SUM(H31,I31),SUM(H31,I31*J31)))</f>
        <v/>
      </c>
      <c r="I32" s="151">
        <f>IF(OR($E32="",$C32=""),0,IF($E32="C",$F32,IF($E32="G",$F32*2,IF($E32="P",TRUNC(($F32+$G32+2)/2),IF($E32="U",$F32+$G32,"Error")))))</f>
        <v/>
      </c>
      <c r="J32" s="175" t="n"/>
      <c r="K32" s="176" t="n"/>
      <c r="L32" s="177" t="n"/>
    </row>
    <row r="33" ht="23.1" customHeight="1" s="99">
      <c r="A33" s="178" t="n"/>
      <c r="B33" s="178" t="n"/>
      <c r="C33" s="178" t="n"/>
      <c r="D33" s="178" t="n"/>
      <c r="E33" s="179" t="n"/>
      <c r="F33" s="179" t="n"/>
      <c r="G33" s="180" t="n"/>
      <c r="H33" s="181" t="inlineStr">
        <is>
          <t>総Byte</t>
        </is>
      </c>
      <c r="I33" s="182" t="n">
        <v>150</v>
      </c>
      <c r="J33" s="183" t="inlineStr">
        <is>
          <t>PAGE</t>
        </is>
      </c>
      <c r="K33" s="184" t="n">
        <v>1</v>
      </c>
      <c r="L33" s="185" t="inlineStr">
        <is>
          <t>/E</t>
        </is>
      </c>
    </row>
    <row r="34" ht="15" customHeight="1" s="99">
      <c r="A34" s="186" t="n"/>
      <c r="B34" s="186" t="n"/>
      <c r="C34" s="186" t="n"/>
      <c r="D34" s="186" t="n"/>
      <c r="E34" s="186" t="n"/>
      <c r="F34" s="186" t="n"/>
      <c r="G34" s="186" t="n"/>
      <c r="H34" s="186" t="n"/>
      <c r="I34" s="186" t="n"/>
      <c r="J34" s="186" t="n"/>
      <c r="K34" s="186" t="n"/>
      <c r="L34" s="186" t="n"/>
    </row>
    <row r="35" ht="23.1" customHeight="1" s="99">
      <c r="A35" s="187" t="inlineStr">
        <is>
          <t>レイアウトコ-ド</t>
        </is>
      </c>
      <c r="B35" s="188" t="n"/>
      <c r="C35" s="189" t="inlineStr">
        <is>
          <t>RS020</t>
        </is>
      </c>
      <c r="D35" s="190" t="inlineStr">
        <is>
          <t>レイアウト名</t>
        </is>
      </c>
      <c r="E35" s="191" t="inlineStr">
        <is>
          <t>国内出荷連絡データ
(ＭＱ)</t>
        </is>
      </c>
      <c r="F35" s="192" t="n"/>
      <c r="G35" s="188" t="n"/>
      <c r="H35" s="193" t="inlineStr">
        <is>
          <t>作成者</t>
        </is>
      </c>
      <c r="I35" s="194" t="inlineStr">
        <is>
          <t>定村</t>
        </is>
      </c>
      <c r="J35" s="188" t="n"/>
      <c r="K35" s="193" t="inlineStr">
        <is>
          <t>作成日</t>
        </is>
      </c>
      <c r="L35" s="195" t="inlineStr">
        <is>
          <t>2008/8/27</t>
        </is>
      </c>
    </row>
    <row r="36" ht="23.1" customHeight="1" s="99">
      <c r="A36" s="196" t="inlineStr">
        <is>
          <t>システムコ-ド</t>
        </is>
      </c>
      <c r="B36" s="197" t="n"/>
      <c r="C36" s="198" t="inlineStr">
        <is>
          <t>R20</t>
        </is>
      </c>
      <c r="D36" s="199" t="inlineStr">
        <is>
          <t>システム名</t>
        </is>
      </c>
      <c r="E36" s="200" t="inlineStr">
        <is>
          <t>KAPS2</t>
        </is>
      </c>
      <c r="F36" s="201" t="n"/>
      <c r="G36" s="197" t="n"/>
      <c r="H36" s="202" t="inlineStr">
        <is>
          <t>更新者</t>
        </is>
      </c>
      <c r="I36" s="203" t="inlineStr">
        <is>
          <t>定村</t>
        </is>
      </c>
      <c r="J36" s="197" t="n"/>
      <c r="K36" s="202" t="inlineStr">
        <is>
          <t>更新日</t>
        </is>
      </c>
      <c r="L36" s="204" t="inlineStr">
        <is>
          <t>2009/03/16</t>
        </is>
      </c>
    </row>
    <row r="37" ht="23.1" customHeight="1" s="99">
      <c r="A37" s="205" t="inlineStr">
        <is>
          <t>起案№</t>
        </is>
      </c>
      <c r="B37" s="206" t="n"/>
      <c r="C37" s="207" t="inlineStr">
        <is>
          <t>R200-000-1</t>
        </is>
      </c>
      <c r="D37" s="208" t="inlineStr">
        <is>
          <t>起案名</t>
        </is>
      </c>
      <c r="E37" s="209" t="inlineStr">
        <is>
          <t>部品業務システム再構築</t>
        </is>
      </c>
      <c r="F37" s="210" t="n"/>
      <c r="G37" s="206" t="n"/>
      <c r="H37" s="211" t="inlineStr">
        <is>
          <t>更新者</t>
        </is>
      </c>
      <c r="I37" s="212" t="inlineStr">
        <is>
          <t>伊藤</t>
        </is>
      </c>
      <c r="J37" s="206" t="n"/>
      <c r="K37" s="211" t="inlineStr">
        <is>
          <t>更新日</t>
        </is>
      </c>
      <c r="L37" s="213" t="inlineStr">
        <is>
          <t>2017/10/4</t>
        </is>
      </c>
    </row>
  </sheetData>
  <mergeCells count="41">
    <mergeCell ref="K16:L16"/>
    <mergeCell ref="K30:L30"/>
    <mergeCell ref="K25:L25"/>
    <mergeCell ref="K24:L24"/>
    <mergeCell ref="K15:L15"/>
    <mergeCell ref="K9:L9"/>
    <mergeCell ref="K5:L5"/>
    <mergeCell ref="A36:B36"/>
    <mergeCell ref="I36:J36"/>
    <mergeCell ref="K26:L26"/>
    <mergeCell ref="K21:L21"/>
    <mergeCell ref="K29:L29"/>
    <mergeCell ref="K11:L11"/>
    <mergeCell ref="K20:L20"/>
    <mergeCell ref="E36:G36"/>
    <mergeCell ref="K32:L32"/>
    <mergeCell ref="A37:B37"/>
    <mergeCell ref="I37:J37"/>
    <mergeCell ref="K31:L31"/>
    <mergeCell ref="K22:L22"/>
    <mergeCell ref="K12:L12"/>
    <mergeCell ref="K8:L8"/>
    <mergeCell ref="K2:L2"/>
    <mergeCell ref="E37:G37"/>
    <mergeCell ref="K6:L6"/>
    <mergeCell ref="K27:L27"/>
    <mergeCell ref="K23:L23"/>
    <mergeCell ref="K14:L14"/>
    <mergeCell ref="K17:L17"/>
    <mergeCell ref="A35:B35"/>
    <mergeCell ref="K7:L7"/>
    <mergeCell ref="I35:J35"/>
    <mergeCell ref="A1:L1"/>
    <mergeCell ref="K10:L10"/>
    <mergeCell ref="K28:L28"/>
    <mergeCell ref="K19:L19"/>
    <mergeCell ref="E35:G35"/>
    <mergeCell ref="K4:L4"/>
    <mergeCell ref="K13:L13"/>
    <mergeCell ref="K18:L18"/>
    <mergeCell ref="K3:L3"/>
  </mergeCells>
  <dataValidations count="24">
    <dataValidation sqref="O8" showDropDown="0" showInputMessage="0" showErrorMessage="1" allowBlank="1" type="list" errorStyle="stop" operator="between">
      <formula1>$O$2:$O$3</formula1>
      <formula2>0</formula2>
    </dataValidation>
    <dataValidation sqref="E3:E28" showDropDown="0" showInputMessage="0" showErrorMessage="1" allowBlank="1" type="list" errorStyle="stop" operator="between">
      <formula1>"C,G,P,U,B"</formula1>
      <formula2>0</formula2>
    </dataValidation>
    <dataValidation sqref="Q3" showDropDown="0" showInputMessage="0" showErrorMessage="0" allowBlank="1" type="list">
      <formula1>"（无历史映射 — 可能为接口内部字段）,（手动指定）"</formula1>
    </dataValidation>
    <dataValidation sqref="Q4" showDropDown="0" showInputMessage="0" showErrorMessage="0" allowBlank="1" type="list">
      <formula1>"LIKP.WADAT（計画在庫移動日付）,LIKP.WADAT_IST（実在庫移動日付）,EKET.EINDT（明細納入期日）,（手动指定）"</formula1>
    </dataValidation>
    <dataValidation sqref="Q5" showDropDown="0" showInputMessage="0" showErrorMessage="0" allowBlank="1" type="list">
      <formula1>"LIKP.VBELN（出荷伝票）,EKKO.EBELN（購買伝票）,（手动指定）"</formula1>
    </dataValidation>
    <dataValidation sqref="Q6" showDropDown="0" showInputMessage="0" showErrorMessage="0" allowBlank="1" type="list">
      <formula1>"LIPS.POSNR（出荷明細）,（手动指定）"</formula1>
    </dataValidation>
    <dataValidation sqref="Q7" showDropDown="0" showInputMessage="0" showErrorMessage="0" allowBlank="1" type="list">
      <formula1>"（无历史映射 — 可能为接口内部字段）,（手动指定）"</formula1>
    </dataValidation>
    <dataValidation sqref="Q8" showDropDown="0" showInputMessage="0" showErrorMessage="0" allowBlank="1" type="list">
      <formula1>"VBAK.VBELN（販売伝票）,LIKP.VGBEL（参照伝票）,（手动指定）"</formula1>
    </dataValidation>
    <dataValidation sqref="Q9" showDropDown="0" showInputMessage="0" showErrorMessage="0" allowBlank="1" type="list">
      <formula1>"VBAP.POSNR（販売伝票明細）,（手动指定）"</formula1>
    </dataValidation>
    <dataValidation sqref="Q10" showDropDown="0" showInputMessage="0" showErrorMessage="0" allowBlank="1" type="list">
      <formula1>"VBKD.VSART（出荷タイプ）,（手动指定）"</formula1>
    </dataValidation>
    <dataValidation sqref="Q11" showDropDown="0" showInputMessage="0" showErrorMessage="0" allowBlank="1" type="list">
      <formula1>"LIPS.AESKD（得意先設計変更ステータス）,（手动指定）"</formula1>
    </dataValidation>
    <dataValidation sqref="Q12" showDropDown="0" showInputMessage="0" showErrorMessage="0" allowBlank="1" type="list">
      <formula1>"LIPS.NTGEW+BRGEW（正味重量+総重量）,（手动指定）"</formula1>
    </dataValidation>
    <dataValidation sqref="Q13" showDropDown="0" showInputMessage="0" showErrorMessage="0" allowBlank="1" type="list">
      <formula1>"（无历史映射 — 可能为接口内部字段）,（手动指定）"</formula1>
    </dataValidation>
    <dataValidation sqref="Q14" showDropDown="0" showInputMessage="0" showErrorMessage="0" allowBlank="1" type="list">
      <formula1>"VBAP.MATNR（品目コード）,VBRP.MATNR（品目コード）,EBAN.MATNR（品目コード）,（手动指定）"</formula1>
    </dataValidation>
    <dataValidation sqref="Q15" showDropDown="0" showInputMessage="0" showErrorMessage="0" allowBlank="1" type="list">
      <formula1>"MAKT.MAKTX（品目テキスト）,VBAP.ARKTX（受注明細のテキスト (短)）,（手动指定）"</formula1>
    </dataValidation>
    <dataValidation sqref="Q16" showDropDown="0" showInputMessage="0" showErrorMessage="0" allowBlank="1" type="list">
      <formula1>"[AI推测] LIPS.AESKD+EAN11（得意先設計変更ステータス+国際商品コード (EAN/UPC)）,[AI推测] VEKP.EXIDV（外部ハンドリングユニット識別）,[AI推测] LIPS.VBELN_EX（外部識別 1）,（手动指定）"</formula1>
    </dataValidation>
    <dataValidation sqref="Q17" showDropDown="0" showInputMessage="0" showErrorMessage="0" allowBlank="1" type="list">
      <formula1>"（无历史映射 — 可能为接口内部字段）,（手动指定）"</formula1>
    </dataValidation>
    <dataValidation sqref="Q18" showDropDown="0" showInputMessage="0" showErrorMessage="0" allowBlank="1" type="list">
      <formula1>"（无历史映射 — 可能为接口内部字段）,（手动指定）"</formula1>
    </dataValidation>
    <dataValidation sqref="Q19" showDropDown="0" showInputMessage="0" showErrorMessage="0" allowBlank="1" type="list">
      <formula1>"[AI推测] LIKP.LFART（納品タイプ）,[AI推测] VBAK.AUART（販売伝票タイプ）,[AI推测] LIKP.VBTYP（SD伝票カテゴリ）,（手动指定）"</formula1>
    </dataValidation>
    <dataValidation sqref="Q20" showDropDown="0" showInputMessage="0" showErrorMessage="0" allowBlank="1" type="list">
      <formula1>"（无历史映射 — 可能为接口内部字段）,（手动指定）"</formula1>
    </dataValidation>
    <dataValidation sqref="Q21" showDropDown="0" showInputMessage="0" showErrorMessage="0" allowBlank="1" type="list">
      <formula1>"（无历史映射 — 可能为接口内部字段）,（手动指定）"</formula1>
    </dataValidation>
    <dataValidation sqref="Q22" showDropDown="0" showInputMessage="0" showErrorMessage="0" allowBlank="1" type="list">
      <formula1>"[AI推测] VEKP.EXIDV（外部ハンドリングユニット識別）,[AI推测] VEKP.VENUM（内部ハンドリングユニット番号）,[AI推测] LIPS.VEMNG（梱包数量）,（手动指定）"</formula1>
    </dataValidation>
    <dataValidation sqref="Q24" showDropDown="0" showInputMessage="0" showErrorMessage="0" allowBlank="1" type="list">
      <formula1>"VBAP.MATNR（品目コード）,（手动指定）"</formula1>
    </dataValidation>
    <dataValidation sqref="Q25" showDropDown="0" showInputMessage="0" showErrorMessage="0" allowBlank="1" type="list">
      <formula1>"[AI推测] VBAP.MATNR（品目コード）,[AI推测] MARA.MATNR（品目コード）,[AI推测] MAKT.MATNR（品目コード）,（手动指定）"</formula1>
    </dataValidation>
  </dataValidations>
  <printOptions horizontalCentered="0" verticalCentered="0" headings="0" gridLines="0" gridLinesSet="1"/>
  <pageMargins left="0.590277777777778" right="0.39375" top="0.39375" bottom="0.39375" header="0.39375" footer="0.511811023622047"/>
  <pageSetup orientation="portrait" paperSize="9" scale="100" fitToHeight="1" fitToWidth="1" pageOrder="downThenOver" blackAndWhite="0" draft="0" horizontalDpi="300" verticalDpi="300" copies="1"/>
  <headerFooter differentOddEven="0" differentFirst="0">
    <oddHeader>&amp;RCBL-040-530/001/200211</oddHeader>
    <oddFooter/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5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L16" activeCellId="0" sqref="L16"/>
    </sheetView>
  </sheetViews>
  <sheetFormatPr baseColWidth="8" defaultColWidth="8.96875" defaultRowHeight="13.5" zeroHeight="0" outlineLevelRow="0"/>
  <sheetData>
    <row r="1" ht="13.5" customHeight="1" s="99">
      <c r="A1" s="98" t="inlineStr">
        <is>
          <t xml:space="preserve">      ****************************************************************</t>
        </is>
      </c>
    </row>
    <row r="2" ht="13.5" customHeight="1" s="99">
      <c r="A2" s="214" t="inlineStr">
        <is>
          <t xml:space="preserve">      *    LRS020   国内出荷連絡データ
(ＭＱ)  150 LENGTH</t>
        </is>
      </c>
    </row>
    <row r="3" ht="13.5" customHeight="1" s="99">
      <c r="A3" s="98" t="inlineStr">
        <is>
          <t xml:space="preserve">      ****************************************************************</t>
        </is>
      </c>
    </row>
    <row r="4" ht="13.5" customHeight="1" s="99">
      <c r="A4" s="98" t="inlineStr">
        <is>
          <t xml:space="preserve">           03  BFIL            PIC  X(0002).                           </t>
        </is>
      </c>
    </row>
    <row r="5" ht="13.5" customHeight="1" s="99">
      <c r="A5" s="98" t="inlineStr">
        <is>
          <t xml:space="preserve">      * *&gt;ファイルＩＤ</t>
        </is>
      </c>
    </row>
    <row r="6" ht="13.5" customHeight="1" s="99">
      <c r="A6" s="98" t="inlineStr">
        <is>
          <t xml:space="preserve">           03  DSYKDDD         PIC  X(0006).                           </t>
        </is>
      </c>
    </row>
    <row r="7" ht="13.5" customHeight="1" s="99">
      <c r="A7" s="98" t="inlineStr">
        <is>
          <t xml:space="preserve">      * *&gt;出荷日</t>
        </is>
      </c>
    </row>
    <row r="8" ht="13.5" customHeight="1" s="99">
      <c r="A8" s="98" t="inlineStr">
        <is>
          <t xml:space="preserve">           03  BSYR            PIC  X(0008).                           </t>
        </is>
      </c>
    </row>
    <row r="9" ht="13.5" customHeight="1" s="99">
      <c r="A9" s="98" t="inlineStr">
        <is>
          <t xml:space="preserve">      * *&gt;出荷連絡No</t>
        </is>
      </c>
    </row>
    <row r="10" ht="13.5" customHeight="1" s="99">
      <c r="A10" s="98" t="inlineStr">
        <is>
          <t xml:space="preserve">           03  BSYRGYO         PIC  X(0001).                           </t>
        </is>
      </c>
    </row>
    <row r="11" ht="13.5" customHeight="1" s="99">
      <c r="A11" s="98" t="inlineStr">
        <is>
          <t xml:space="preserve">      * *&gt;出荷連絡L#</t>
        </is>
      </c>
    </row>
    <row r="12" ht="13.5" customHeight="1" s="99">
      <c r="A12" s="98" t="inlineStr">
        <is>
          <t xml:space="preserve">           03  BSYKRENEDA      PIC  X(0003).                           </t>
        </is>
      </c>
    </row>
    <row r="13" ht="13.5" customHeight="1" s="99">
      <c r="A13" s="98" t="inlineStr">
        <is>
          <t xml:space="preserve">      * *&gt;出荷連絡枝番</t>
        </is>
      </c>
    </row>
    <row r="14" ht="13.5" customHeight="1" s="99">
      <c r="A14" s="98" t="inlineStr">
        <is>
          <t xml:space="preserve">           03  BUKE            PIC  X(0008).                           </t>
        </is>
      </c>
    </row>
    <row r="15" ht="13.5" customHeight="1" s="99">
      <c r="A15" s="98" t="inlineStr">
        <is>
          <t xml:space="preserve">      * *&gt;受付No</t>
        </is>
      </c>
    </row>
    <row r="16" ht="13.5" customHeight="1" s="99">
      <c r="A16" s="98" t="inlineStr">
        <is>
          <t xml:space="preserve">           03  BUKEGYO         PIC  X(0001).                           </t>
        </is>
      </c>
    </row>
    <row r="17" ht="13.5" customHeight="1" s="99">
      <c r="A17" s="98" t="inlineStr">
        <is>
          <t xml:space="preserve">      * *&gt;受付L#</t>
        </is>
      </c>
    </row>
    <row r="18" ht="13.5" customHeight="1" s="99">
      <c r="A18" s="98" t="inlineStr">
        <is>
          <t xml:space="preserve">           03  BYUS            PIC  X(0002).                           </t>
        </is>
      </c>
    </row>
    <row r="19" ht="13.5" customHeight="1" s="99">
      <c r="A19" s="98" t="inlineStr">
        <is>
          <t xml:space="preserve">      * *&gt;便コード</t>
        </is>
      </c>
    </row>
    <row r="20" ht="13.5" customHeight="1" s="99">
      <c r="A20" s="98" t="inlineStr">
        <is>
          <t xml:space="preserve">           03  BUNS            PIC  X(0006).                           </t>
        </is>
      </c>
    </row>
    <row r="21" ht="13.5" customHeight="1" s="99">
      <c r="A21" s="98" t="inlineStr">
        <is>
          <t xml:space="preserve">      * *&gt;運送会社コード</t>
        </is>
      </c>
    </row>
    <row r="22" ht="13.5" customHeight="1" s="99">
      <c r="A22" s="98" t="inlineStr">
        <is>
          <t xml:space="preserve">           03  SGYU            PIC  X(0007).                           </t>
        </is>
      </c>
    </row>
    <row r="23" ht="13.5" customHeight="1" s="99">
      <c r="A23" s="98" t="inlineStr">
        <is>
          <t xml:space="preserve">      * *&gt;重量</t>
        </is>
      </c>
    </row>
    <row r="24" ht="13.5" customHeight="1" s="99">
      <c r="A24" s="98" t="inlineStr">
        <is>
          <t xml:space="preserve">           03  SKUC            PIC  X(0003).                           </t>
        </is>
      </c>
    </row>
    <row r="25" ht="13.5" customHeight="1" s="99">
      <c r="A25" s="98" t="inlineStr">
        <is>
          <t xml:space="preserve">      * *&gt;口数</t>
        </is>
      </c>
    </row>
    <row r="26" ht="13.5" customHeight="1" s="99">
      <c r="A26" s="98" t="inlineStr">
        <is>
          <t xml:space="preserve">           03  BHIN            PIC  X(0010).                           </t>
        </is>
      </c>
    </row>
    <row r="27" ht="13.5" customHeight="1" s="99">
      <c r="A27" s="98" t="inlineStr">
        <is>
          <t xml:space="preserve">      * *&gt;品番</t>
        </is>
      </c>
    </row>
    <row r="28" ht="13.5" customHeight="1" s="99">
      <c r="A28" s="98" t="inlineStr">
        <is>
          <t xml:space="preserve">           03  NHINKN          PIC  X(0020).                           </t>
        </is>
      </c>
    </row>
    <row r="29" ht="13.5" customHeight="1" s="99">
      <c r="A29" s="98" t="inlineStr">
        <is>
          <t xml:space="preserve">      * *&gt;品名</t>
        </is>
      </c>
    </row>
    <row r="30" ht="13.5" customHeight="1" s="99">
      <c r="A30" s="98" t="inlineStr">
        <is>
          <t xml:space="preserve">           03  BNFD            PIC  X(0010).                           </t>
        </is>
      </c>
    </row>
    <row r="31" ht="13.5" customHeight="1" s="99">
      <c r="A31" s="98" t="inlineStr">
        <is>
          <t xml:space="preserve">      * *&gt;荷札№</t>
        </is>
      </c>
    </row>
    <row r="32" ht="13.5" customHeight="1" s="99">
      <c r="A32" s="98" t="inlineStr">
        <is>
          <t xml:space="preserve">           03  SRSYK           PIC  X(0005).                           </t>
        </is>
      </c>
    </row>
    <row r="33" ht="13.5" customHeight="1" s="99">
      <c r="A33" s="98" t="inlineStr">
        <is>
          <t xml:space="preserve">      * *&gt;出荷連絡数</t>
        </is>
      </c>
    </row>
    <row r="34" ht="13.5" customHeight="1" s="99">
      <c r="A34" s="98" t="inlineStr">
        <is>
          <t xml:space="preserve">           03  SSYKRENFSK      PIC  X(0005).                           </t>
        </is>
      </c>
    </row>
    <row r="35" ht="13.5" customHeight="1" s="99">
      <c r="A35" s="98" t="inlineStr">
        <is>
          <t xml:space="preserve">      * *&gt;出荷連絡不足数</t>
        </is>
      </c>
    </row>
    <row r="36" ht="13.5" customHeight="1" s="99">
      <c r="A36" s="98" t="inlineStr">
        <is>
          <t xml:space="preserve">           03  CNSKKTI         PIC  X(0003).                           </t>
        </is>
      </c>
    </row>
    <row r="37" ht="13.5" customHeight="1" s="99">
      <c r="A37" s="98" t="inlineStr">
        <is>
          <t xml:space="preserve">      * *&gt;入出庫形態</t>
        </is>
      </c>
    </row>
    <row r="38" ht="13.5" customHeight="1" s="99">
      <c r="A38" s="98" t="inlineStr">
        <is>
          <t xml:space="preserve">           03  BNSKRBN         PIC  X(0008).                           </t>
        </is>
      </c>
    </row>
    <row r="39" ht="13.5" customHeight="1" s="99">
      <c r="A39" s="98" t="inlineStr">
        <is>
          <t xml:space="preserve">      * *&gt;入出庫連番</t>
        </is>
      </c>
    </row>
    <row r="40" ht="13.5" customHeight="1" s="99">
      <c r="A40" s="98" t="inlineStr">
        <is>
          <t xml:space="preserve">           03  SCAS            PIC  X(0003).                           </t>
        </is>
      </c>
    </row>
    <row r="41" ht="13.5" customHeight="1" s="99">
      <c r="A41" s="98" t="inlineStr">
        <is>
          <t xml:space="preserve">      * *&gt;ケース数</t>
        </is>
      </c>
    </row>
    <row r="42" ht="13.5" customHeight="1" s="99">
      <c r="A42" s="98" t="inlineStr">
        <is>
          <t xml:space="preserve">           03  BNSYBOX         PIC  X(0005).                           </t>
        </is>
      </c>
    </row>
    <row r="43" ht="13.5" customHeight="1" s="99">
      <c r="A43" s="98" t="inlineStr">
        <is>
          <t xml:space="preserve">      * *&gt;荷集めボックスNo</t>
        </is>
      </c>
    </row>
    <row r="44" ht="13.5" customHeight="1" s="99">
      <c r="A44" s="98" t="inlineStr">
        <is>
          <t xml:space="preserve">           03  BSYUTKUNOS      PIC  X(0009).                           </t>
        </is>
      </c>
    </row>
    <row r="45" ht="13.5" customHeight="1" s="99">
      <c r="A45" s="98" t="inlineStr">
        <is>
          <t xml:space="preserve">      * *&gt;集約得意先納所</t>
        </is>
      </c>
    </row>
    <row r="46" ht="13.5" customHeight="1" s="99">
      <c r="A46" s="98" t="inlineStr">
        <is>
          <t xml:space="preserve">           03  BMEKRYG         PIC  X(0003).                           </t>
        </is>
      </c>
    </row>
    <row r="47" ht="13.5" customHeight="1" s="99">
      <c r="A47" s="98" t="inlineStr">
        <is>
          <t xml:space="preserve">      * *&gt;メーカー略号</t>
        </is>
      </c>
    </row>
    <row r="48" ht="13.5" customHeight="1" s="99">
      <c r="A48" s="98" t="inlineStr">
        <is>
          <t xml:space="preserve">           03  BHIN20          PIC  X(0020).                           </t>
        </is>
      </c>
    </row>
    <row r="49" ht="13.5" customHeight="1" s="99">
      <c r="A49" s="98" t="inlineStr">
        <is>
          <t xml:space="preserve">      * *&gt;品番（20桁）</t>
        </is>
      </c>
    </row>
    <row r="50" ht="13.5" customHeight="1" s="99">
      <c r="A50" s="98" t="inlineStr">
        <is>
          <t xml:space="preserve">           03  FIL1            PIC  X(0002).                           </t>
        </is>
      </c>
    </row>
    <row r="51" ht="13.5" customHeight="1" s="99">
      <c r="A51" s="98" t="inlineStr">
        <is>
          <t xml:space="preserve">      * *&gt;予備</t>
        </is>
      </c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情報開発センター</dc:creator>
  <dc:language>en-US</dc:language>
  <dcterms:created xsi:type="dcterms:W3CDTF">2002-09-05T15:43:58Z</dcterms:created>
  <dcterms:modified xsi:type="dcterms:W3CDTF">2026-04-27T00:59:45Z</dcterms:modified>
  <cp:lastModifiedBy>ksi</cp:lastModifiedBy>
  <cp:revision>0</cp:revision>
  <cp:lastPrinted>2008-08-27T18:16:18Z</cp:lastPrinted>
</cp:coreProperties>
</file>