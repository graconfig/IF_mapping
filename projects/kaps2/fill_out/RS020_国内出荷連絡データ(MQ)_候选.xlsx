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PC\Projects\IF_mapping\projects\kaps2\fill_out\"/>
    </mc:Choice>
  </mc:AlternateContent>
  <xr:revisionPtr revIDLastSave="0" documentId="13_ncr:1_{4F2EC0AA-AA44-4B9C-B009-DECF00E80B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S020" sheetId="1" r:id="rId1"/>
    <sheet name="1RS020  定義文" sheetId="2" r:id="rId2"/>
  </sheets>
  <calcPr calcId="191029"/>
</workbook>
</file>

<file path=xl/calcChain.xml><?xml version="1.0" encoding="utf-8"?>
<calcChain xmlns="http://schemas.openxmlformats.org/spreadsheetml/2006/main">
  <c r="I32" i="1" l="1"/>
  <c r="H32" i="1"/>
  <c r="I31" i="1"/>
  <c r="H31" i="1"/>
  <c r="I30" i="1"/>
  <c r="H30" i="1"/>
  <c r="I29" i="1"/>
  <c r="H29" i="1"/>
  <c r="I28" i="1"/>
  <c r="H28" i="1"/>
  <c r="I27" i="1"/>
  <c r="H27" i="1"/>
</calcChain>
</file>

<file path=xl/sharedStrings.xml><?xml version="1.0" encoding="utf-8"?>
<sst xmlns="http://schemas.openxmlformats.org/spreadsheetml/2006/main" count="303" uniqueCount="230">
  <si>
    <t>MQｲﾝﾀｰﾌｪｰｽLAYOUT仕様書</t>
  </si>
  <si>
    <t>下記のボタンをそのままクリックしてください。</t>
  </si>
  <si>
    <t>№</t>
  </si>
  <si>
    <t>LVL</t>
  </si>
  <si>
    <t>項目名</t>
  </si>
  <si>
    <t>項目コード</t>
  </si>
  <si>
    <t>Type</t>
  </si>
  <si>
    <t>Leng　　(整数)</t>
  </si>
  <si>
    <t>Leng　　(小数)</t>
  </si>
  <si>
    <t>上限</t>
  </si>
  <si>
    <t>Byte</t>
  </si>
  <si>
    <t>ｱﾚ-</t>
  </si>
  <si>
    <t>備考</t>
  </si>
  <si>
    <t>する</t>
  </si>
  <si>
    <t>推奨 SAP 字段</t>
  </si>
  <si>
    <t>信心</t>
  </si>
  <si>
    <t>03</t>
  </si>
  <si>
    <t>ファイルＩＤ</t>
  </si>
  <si>
    <t>BFIL</t>
  </si>
  <si>
    <t>C</t>
  </si>
  <si>
    <t>'R3'</t>
  </si>
  <si>
    <t>しない</t>
  </si>
  <si>
    <t>—</t>
  </si>
  <si>
    <t>出荷日</t>
  </si>
  <si>
    <t>DSYKDDD</t>
  </si>
  <si>
    <t>YYMMDD</t>
  </si>
  <si>
    <t>LIKP.WADAT（計画在庫移動日付）</t>
  </si>
  <si>
    <t>出荷連絡No</t>
  </si>
  <si>
    <t>BSYR</t>
  </si>
  <si>
    <t>LIKP.VBELN（出荷伝票）</t>
  </si>
  <si>
    <t>★★</t>
  </si>
  <si>
    <t>出荷連絡L#</t>
  </si>
  <si>
    <t>BSYRGYO</t>
  </si>
  <si>
    <t>保存フォルダ</t>
  </si>
  <si>
    <t>C:\TEMP\</t>
  </si>
  <si>
    <t>LIPS.POSNR（出荷明細）</t>
  </si>
  <si>
    <t>★★★</t>
  </si>
  <si>
    <t>出荷連絡枝番</t>
  </si>
  <si>
    <t>BSYKRENEDA</t>
  </si>
  <si>
    <t>ファイル名</t>
  </si>
  <si>
    <t>RS020</t>
  </si>
  <si>
    <t>( 1)</t>
  </si>
  <si>
    <t>受付No</t>
  </si>
  <si>
    <t>BUKE</t>
  </si>
  <si>
    <t>自動計算する？</t>
  </si>
  <si>
    <t>VBAK.VBELN（販売伝票）</t>
  </si>
  <si>
    <t>受付L#</t>
  </si>
  <si>
    <t>BUKEGYO</t>
  </si>
  <si>
    <t>VBAP.POSNR（販売伝票明細）</t>
  </si>
  <si>
    <t>便コード</t>
  </si>
  <si>
    <t>BYUS</t>
  </si>
  <si>
    <t>VBKD.VSART（出荷タイプ）</t>
  </si>
  <si>
    <t>運送会社コード</t>
  </si>
  <si>
    <t>BUNS</t>
  </si>
  <si>
    <t>LIPS.AESKD（得意先設計変更ステータス）</t>
  </si>
  <si>
    <t>10</t>
  </si>
  <si>
    <t>重量</t>
  </si>
  <si>
    <t>SGYU</t>
  </si>
  <si>
    <t>符号なし
PIC'9999999'</t>
  </si>
  <si>
    <t>LIPS.NTGEW+BRGEW（正味重量+総重量）</t>
  </si>
  <si>
    <t>11</t>
  </si>
  <si>
    <t>口数</t>
  </si>
  <si>
    <t>SKUC</t>
  </si>
  <si>
    <t>符号なし　PIC'999'</t>
  </si>
  <si>
    <t>12</t>
  </si>
  <si>
    <t>品番</t>
  </si>
  <si>
    <t>BHIN</t>
  </si>
  <si>
    <t>VBAP.MATNR（品目コード）</t>
  </si>
  <si>
    <t>★</t>
  </si>
  <si>
    <t>13</t>
  </si>
  <si>
    <t>品名</t>
  </si>
  <si>
    <t>NHINKN</t>
  </si>
  <si>
    <t>MAKT.MAKTX（品目テキスト）</t>
  </si>
  <si>
    <t>14</t>
  </si>
  <si>
    <t>荷札№</t>
  </si>
  <si>
    <t>BNFD</t>
  </si>
  <si>
    <t>MMDD+PC＋連番4桁</t>
  </si>
  <si>
    <t>15</t>
  </si>
  <si>
    <t>出荷連絡数</t>
  </si>
  <si>
    <t>SRSYK</t>
  </si>
  <si>
    <t>16</t>
  </si>
  <si>
    <t>出荷連絡不足数</t>
  </si>
  <si>
    <t>SSYKRENFSK</t>
  </si>
  <si>
    <t>17</t>
  </si>
  <si>
    <t>入出庫形態</t>
  </si>
  <si>
    <t>CNSKKTI</t>
  </si>
  <si>
    <t>18</t>
  </si>
  <si>
    <t>入出庫連番</t>
  </si>
  <si>
    <t>BNSKRBN</t>
  </si>
  <si>
    <t>B扱いはﾌﾞﾗﾝｸ</t>
  </si>
  <si>
    <t>19</t>
  </si>
  <si>
    <t>ケース数</t>
  </si>
  <si>
    <t>SCAS</t>
  </si>
  <si>
    <t>20</t>
  </si>
  <si>
    <t>荷集めボックスNo</t>
  </si>
  <si>
    <t>BNSYBOX</t>
  </si>
  <si>
    <t>21</t>
  </si>
  <si>
    <t>集約得意先納所</t>
  </si>
  <si>
    <t>BSYUTKUNOS</t>
  </si>
  <si>
    <t>得意先6桁+納所3桁</t>
  </si>
  <si>
    <t>22</t>
  </si>
  <si>
    <t>メーカー略号</t>
  </si>
  <si>
    <t>BMEKRYG</t>
  </si>
  <si>
    <t>2017/10/04 追加</t>
  </si>
  <si>
    <t>23</t>
  </si>
  <si>
    <t>品番（20桁）</t>
  </si>
  <si>
    <t>BHIN20</t>
  </si>
  <si>
    <t>24</t>
  </si>
  <si>
    <t>予備</t>
  </si>
  <si>
    <t>FIL1</t>
  </si>
  <si>
    <t>25→2
2017/10/04 変更</t>
  </si>
  <si>
    <t>填充/占位字段，无需映射。</t>
  </si>
  <si>
    <t>25</t>
  </si>
  <si>
    <t>26</t>
  </si>
  <si>
    <t>27</t>
  </si>
  <si>
    <t>28</t>
  </si>
  <si>
    <t>29</t>
  </si>
  <si>
    <t>30</t>
  </si>
  <si>
    <t>総Byte</t>
  </si>
  <si>
    <t>PAGE</t>
  </si>
  <si>
    <t>/E</t>
  </si>
  <si>
    <t>レイアウトコ-ド</t>
  </si>
  <si>
    <t>レイアウト名</t>
  </si>
  <si>
    <t>国内出荷連絡データ
(ＭＱ)</t>
  </si>
  <si>
    <t>作成者</t>
  </si>
  <si>
    <t>定村</t>
  </si>
  <si>
    <t>作成日</t>
  </si>
  <si>
    <t>2008/8/27</t>
  </si>
  <si>
    <t>システムコ-ド</t>
  </si>
  <si>
    <t>R20</t>
  </si>
  <si>
    <t>システム名</t>
  </si>
  <si>
    <t>KAPS2</t>
  </si>
  <si>
    <t>更新者</t>
  </si>
  <si>
    <t>更新日</t>
  </si>
  <si>
    <t>2009/03/16</t>
  </si>
  <si>
    <t>起案№</t>
  </si>
  <si>
    <t>R200-000-1</t>
  </si>
  <si>
    <t>起案名</t>
  </si>
  <si>
    <t>部品業務システム再構築</t>
  </si>
  <si>
    <t>伊藤</t>
  </si>
  <si>
    <t>2017/10/4</t>
  </si>
  <si>
    <t xml:space="preserve">      ****************************************************************</t>
  </si>
  <si>
    <t xml:space="preserve">      *    LRS020   国内出荷連絡データ
(ＭＱ)  150 LENGTH</t>
  </si>
  <si>
    <t xml:space="preserve">           03  BFIL            PIC  X(0002).                           </t>
  </si>
  <si>
    <t xml:space="preserve">      * *&gt;ファイルＩＤ</t>
  </si>
  <si>
    <t xml:space="preserve">           03  DSYKDDD         PIC  X(0006).                           </t>
  </si>
  <si>
    <t xml:space="preserve">      * *&gt;出荷日</t>
  </si>
  <si>
    <t xml:space="preserve">           03  BSYR            PIC  X(0008).                           </t>
  </si>
  <si>
    <t xml:space="preserve">      * *&gt;出荷連絡No</t>
  </si>
  <si>
    <t xml:space="preserve">           03  BSYRGYO         PIC  X(0001).                           </t>
  </si>
  <si>
    <t xml:space="preserve">      * *&gt;出荷連絡L#</t>
  </si>
  <si>
    <t xml:space="preserve">           03  BSYKRENEDA      PIC  X(0003).                           </t>
  </si>
  <si>
    <t xml:space="preserve">      * *&gt;出荷連絡枝番</t>
  </si>
  <si>
    <t xml:space="preserve">           03  BUKE            PIC  X(0008).                           </t>
  </si>
  <si>
    <t xml:space="preserve">      * *&gt;受付No</t>
  </si>
  <si>
    <t xml:space="preserve">           03  BUKEGYO         PIC  X(0001).                           </t>
  </si>
  <si>
    <t xml:space="preserve">      * *&gt;受付L#</t>
  </si>
  <si>
    <t xml:space="preserve">           03  BYUS            PIC  X(0002).                           </t>
  </si>
  <si>
    <t xml:space="preserve">      * *&gt;便コード</t>
  </si>
  <si>
    <t xml:space="preserve">           03  BUNS            PIC  X(0006).                           </t>
  </si>
  <si>
    <t xml:space="preserve">      * *&gt;運送会社コード</t>
  </si>
  <si>
    <t xml:space="preserve">           03  SGYU            PIC  X(0007).                           </t>
  </si>
  <si>
    <t xml:space="preserve">      * *&gt;重量</t>
  </si>
  <si>
    <t xml:space="preserve">           03  SKUC            PIC  X(0003).                           </t>
  </si>
  <si>
    <t xml:space="preserve">      * *&gt;口数</t>
  </si>
  <si>
    <t xml:space="preserve">           03  BHIN            PIC  X(0010).                           </t>
  </si>
  <si>
    <t xml:space="preserve">      * *&gt;品番</t>
  </si>
  <si>
    <t xml:space="preserve">           03  NHINKN          PIC  X(0020).                           </t>
  </si>
  <si>
    <t xml:space="preserve">      * *&gt;品名</t>
  </si>
  <si>
    <t xml:space="preserve">           03  BNFD            PIC  X(0010).                           </t>
  </si>
  <si>
    <t xml:space="preserve">      * *&gt;荷札№</t>
  </si>
  <si>
    <t xml:space="preserve">           03  SRSYK           PIC  X(0005).                           </t>
  </si>
  <si>
    <t xml:space="preserve">      * *&gt;出荷連絡数</t>
  </si>
  <si>
    <t xml:space="preserve">           03  SSYKRENFSK      PIC  X(0005).                           </t>
  </si>
  <si>
    <t xml:space="preserve">      * *&gt;出荷連絡不足数</t>
  </si>
  <si>
    <t xml:space="preserve">           03  CNSKKTI         PIC  X(0003).                           </t>
  </si>
  <si>
    <t xml:space="preserve">      * *&gt;入出庫形態</t>
  </si>
  <si>
    <t xml:space="preserve">           03  BNSKRBN         PIC  X(0008).                           </t>
  </si>
  <si>
    <t xml:space="preserve">      * *&gt;入出庫連番</t>
  </si>
  <si>
    <t xml:space="preserve">           03  SCAS            PIC  X(0003).                           </t>
  </si>
  <si>
    <t xml:space="preserve">      * *&gt;ケース数</t>
  </si>
  <si>
    <t xml:space="preserve">           03  BNSYBOX         PIC  X(0005).                           </t>
  </si>
  <si>
    <t xml:space="preserve">      * *&gt;荷集めボックスNo</t>
  </si>
  <si>
    <t xml:space="preserve">           03  BSYUTKUNOS      PIC  X(0009).                           </t>
  </si>
  <si>
    <t xml:space="preserve">      * *&gt;集約得意先納所</t>
  </si>
  <si>
    <t xml:space="preserve">           03  BMEKRYG         PIC  X(0003).                           </t>
  </si>
  <si>
    <t xml:space="preserve">      * *&gt;メーカー略号</t>
  </si>
  <si>
    <t xml:space="preserve">           03  BHIN20          PIC  X(0020).                           </t>
  </si>
  <si>
    <t xml:space="preserve">      * *&gt;品番（20桁）</t>
  </si>
  <si>
    <t xml:space="preserve">           03  FIL1            PIC  X(0002).                           </t>
  </si>
  <si>
    <t xml:space="preserve">      * *&gt;予備</t>
  </si>
  <si>
    <r>
      <t>備考（</t>
    </r>
    <r>
      <rPr>
        <b/>
        <sz val="11"/>
        <rFont val="ＭＳ Ｐゴシック"/>
        <family val="2"/>
        <charset val="128"/>
      </rPr>
      <t>业务</t>
    </r>
    <r>
      <rPr>
        <b/>
        <sz val="11"/>
        <rFont val="Meiryo UI"/>
        <family val="2"/>
        <charset val="128"/>
      </rPr>
      <t>判断）</t>
    </r>
  </si>
  <si>
    <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史映射 — 可能</t>
    </r>
    <r>
      <rPr>
        <sz val="11"/>
        <rFont val="ＭＳ Ｐゴシック"/>
        <family val="3"/>
        <charset val="128"/>
      </rPr>
      <t>为</t>
    </r>
    <r>
      <rPr>
        <sz val="11"/>
        <rFont val="Meiryo UI"/>
        <family val="2"/>
        <charset val="128"/>
      </rPr>
      <t>接口内部字段）</t>
    </r>
  </si>
  <si>
    <r>
      <rPr>
        <sz val="11"/>
        <rFont val="ＭＳ Ｐゴシック"/>
        <family val="3"/>
        <charset val="128"/>
      </rPr>
      <t>业务词</t>
    </r>
    <r>
      <rPr>
        <sz val="11"/>
        <rFont val="Meiryo UI"/>
        <family val="2"/>
        <charset val="128"/>
      </rPr>
      <t>典判定：接口文件/</t>
    </r>
    <r>
      <rPr>
        <sz val="11"/>
        <rFont val="ＭＳ Ｐゴシック"/>
        <family val="3"/>
        <charset val="128"/>
      </rPr>
      <t>报</t>
    </r>
    <r>
      <rPr>
        <sz val="11"/>
        <rFont val="Meiryo UI"/>
        <family val="2"/>
        <charset val="128"/>
      </rPr>
      <t>文控制字段，不映射</t>
    </r>
  </si>
  <si>
    <r>
      <t>需</t>
    </r>
    <r>
      <rPr>
        <sz val="11"/>
        <rFont val="ＭＳ Ｐゴシック"/>
        <family val="3"/>
        <charset val="128"/>
      </rPr>
      <t>确认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</si>
  <si>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史上存在多</t>
    </r>
    <r>
      <rPr>
        <sz val="11"/>
        <rFont val="ＭＳ Ｐゴシック"/>
        <family val="3"/>
        <charset val="128"/>
      </rPr>
      <t>种</t>
    </r>
    <r>
      <rPr>
        <sz val="11"/>
        <rFont val="Meiryo UI"/>
        <family val="2"/>
        <charset val="128"/>
      </rPr>
      <t>映射方式，「計画在庫移動日付」（LIKP.WADAT）与「実在庫移動日付」（LIKP.WADAT_IST）</t>
    </r>
    <r>
      <rPr>
        <sz val="11"/>
        <rFont val="ＭＳ Ｐゴシック"/>
        <family val="3"/>
        <charset val="128"/>
      </rPr>
      <t>频</t>
    </r>
    <r>
      <rPr>
        <sz val="11"/>
        <rFont val="Meiryo UI"/>
        <family val="2"/>
        <charset val="128"/>
      </rPr>
      <t>次相近。</t>
    </r>
    <r>
      <rPr>
        <sz val="11"/>
        <rFont val="ＭＳ Ｐゴシック"/>
        <family val="3"/>
        <charset val="128"/>
      </rPr>
      <t>两</t>
    </r>
    <r>
      <rPr>
        <sz val="11"/>
        <rFont val="Meiryo UI"/>
        <family val="2"/>
        <charset val="128"/>
      </rPr>
      <t>个 SAP 字段</t>
    </r>
    <r>
      <rPr>
        <sz val="11"/>
        <rFont val="ＭＳ Ｐゴシック"/>
        <family val="3"/>
        <charset val="128"/>
      </rPr>
      <t>语义</t>
    </r>
    <r>
      <rPr>
        <sz val="11"/>
        <rFont val="Meiryo UI"/>
        <family val="2"/>
        <charset val="128"/>
      </rPr>
      <t>不同，</t>
    </r>
    <r>
      <rPr>
        <sz val="11"/>
        <rFont val="ＭＳ Ｐゴシック"/>
        <family val="3"/>
        <charset val="128"/>
      </rPr>
      <t>请</t>
    </r>
    <r>
      <rPr>
        <sz val="11"/>
        <rFont val="Meiryo UI"/>
        <family val="2"/>
        <charset val="128"/>
      </rPr>
      <t>根据</t>
    </r>
    <r>
      <rPr>
        <sz val="11"/>
        <rFont val="ＭＳ Ｐゴシック"/>
        <family val="3"/>
        <charset val="128"/>
      </rPr>
      <t>实际业务</t>
    </r>
    <r>
      <rPr>
        <sz val="11"/>
        <rFont val="Meiryo UI"/>
        <family val="2"/>
        <charset val="128"/>
      </rPr>
      <t>判断</t>
    </r>
    <r>
      <rPr>
        <sz val="11"/>
        <rFont val="ＭＳ Ｐゴシック"/>
        <family val="3"/>
        <charset val="128"/>
      </rPr>
      <t>应</t>
    </r>
    <r>
      <rPr>
        <sz val="11"/>
        <rFont val="Meiryo UI"/>
        <family val="2"/>
        <charset val="128"/>
      </rPr>
      <t>使用</t>
    </r>
    <r>
      <rPr>
        <sz val="11"/>
        <rFont val="ＭＳ Ｐゴシック"/>
        <family val="3"/>
        <charset val="128"/>
      </rPr>
      <t>哪</t>
    </r>
    <r>
      <rPr>
        <sz val="11"/>
        <rFont val="Meiryo UI"/>
        <family val="2"/>
        <charset val="128"/>
      </rPr>
      <t>一个。</t>
    </r>
  </si>
  <si>
    <r>
      <t>主要映射是「出荷伝票」（LIKP.VBELN），也有若干映射到「購買伝票」（EKKO.EBELN）。</t>
    </r>
    <r>
      <rPr>
        <sz val="11"/>
        <rFont val="ＭＳ Ｐゴシック"/>
        <family val="3"/>
        <charset val="128"/>
      </rPr>
      <t>请结</t>
    </r>
    <r>
      <rPr>
        <sz val="11"/>
        <rFont val="Meiryo UI"/>
        <family val="2"/>
        <charset val="128"/>
      </rPr>
      <t>合</t>
    </r>
    <r>
      <rPr>
        <sz val="11"/>
        <rFont val="ＭＳ Ｐゴシック"/>
        <family val="3"/>
        <charset val="128"/>
      </rPr>
      <t>业务</t>
    </r>
    <r>
      <rPr>
        <sz val="11"/>
        <rFont val="Meiryo UI"/>
        <family val="2"/>
        <charset val="128"/>
      </rPr>
      <t>判断。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</si>
  <si>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史上一致映射到「出荷明細」（LIPS.POSNR），共 3 次，参考：IFZ9000037、IFZ9000172、IFZ9000173。建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直接采用。</t>
    </r>
  </si>
  <si>
    <r>
      <rPr>
        <sz val="11"/>
        <rFont val="ＭＳ Ｐゴシック"/>
        <family val="3"/>
        <charset val="128"/>
      </rPr>
      <t>业务词</t>
    </r>
    <r>
      <rPr>
        <sz val="11"/>
        <rFont val="Meiryo UI"/>
        <family val="2"/>
        <charset val="128"/>
      </rPr>
      <t>典判定：接口内部序号/枝番，通常不映射 SAP 表</t>
    </r>
  </si>
  <si>
    <r>
      <t>多数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史映射到「販売伝票」（VBAK.VBELN），少数映射到「参照伝票」（LIKP.VGBEL）。建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采用主</t>
    </r>
    <r>
      <rPr>
        <sz val="11"/>
        <rFont val="ＭＳ Ｐゴシック"/>
        <family val="3"/>
        <charset val="128"/>
      </rPr>
      <t>选项</t>
    </r>
    <r>
      <rPr>
        <sz val="11"/>
        <rFont val="Meiryo UI"/>
        <family val="2"/>
        <charset val="128"/>
      </rPr>
      <t>，除非</t>
    </r>
    <r>
      <rPr>
        <sz val="11"/>
        <rFont val="ＭＳ Ｐゴシック"/>
        <family val="3"/>
        <charset val="128"/>
      </rPr>
      <t>业务场</t>
    </r>
    <r>
      <rPr>
        <sz val="11"/>
        <rFont val="Meiryo UI"/>
        <family val="2"/>
        <charset val="128"/>
      </rPr>
      <t>景特殊。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</si>
  <si>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史上一致映射到「販売伝票明細」（VBAP.POSNR），共 2 次，参考：IFZ9000172、IFZ9000173。建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直接采用。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</si>
  <si>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史上一致映射到「出荷タイプ」（VBKD.VSART），共 5 次，参考：IFZ9000100、IFZ9000102、IFZ9000172。建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直接采用。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</si>
  <si>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史上一致映射到「得意先設計変更ステータス」（LIPS.AESKD），共 4 次，参考：IFZ9000172、IFZ9000173。建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直接采用。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</si>
  <si>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史上一致映射到「正味重量+総重量」（LIPS.NTGEW+BRGEW），共 4 次，参考：IFZ9000172、IFZ9000173。建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直接采用。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</si>
  <si>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LIPS.LFIMG（出荷数量）</t>
    </r>
  </si>
  <si>
    <r>
      <t>★（AI推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</si>
  <si>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0.82）：推荐「出荷数量」（LIPS.LFIMG）——本接口</t>
    </r>
    <r>
      <rPr>
        <sz val="11"/>
        <rFont val="ＭＳ Ｐゴシック"/>
        <family val="3"/>
        <charset val="128"/>
      </rPr>
      <t>为</t>
    </r>
    <r>
      <rPr>
        <sz val="11"/>
        <rFont val="Meiryo UI"/>
        <family val="2"/>
        <charset val="128"/>
      </rPr>
      <t>出荷連絡（LIKP/LIPS 家族），'口数'</t>
    </r>
    <r>
      <rPr>
        <sz val="11"/>
        <rFont val="ＭＳ Ｐゴシック"/>
        <family val="3"/>
        <charset val="128"/>
      </rPr>
      <t>为</t>
    </r>
    <r>
      <rPr>
        <sz val="11"/>
        <rFont val="Meiryo UI"/>
        <family val="2"/>
        <charset val="128"/>
      </rPr>
      <t>出荷明</t>
    </r>
    <r>
      <rPr>
        <sz val="11"/>
        <rFont val="ＭＳ Ｐゴシック"/>
        <family val="3"/>
        <charset val="128"/>
      </rPr>
      <t>细单</t>
    </r>
    <r>
      <rPr>
        <sz val="11"/>
        <rFont val="Meiryo UI"/>
        <family val="2"/>
        <charset val="128"/>
      </rPr>
      <t>位的件数/数量</t>
    </r>
    <r>
      <rPr>
        <sz val="11"/>
        <rFont val="ＭＳ Ｐゴシック"/>
        <family val="3"/>
        <charset val="128"/>
      </rPr>
      <t>语义</t>
    </r>
    <r>
      <rPr>
        <sz val="11"/>
        <rFont val="Meiryo UI"/>
        <family val="2"/>
        <charset val="128"/>
      </rPr>
      <t>，出荷上下文</t>
    </r>
    <r>
      <rPr>
        <sz val="11"/>
        <rFont val="ＭＳ Ｐゴシック"/>
        <family val="3"/>
        <charset val="128"/>
      </rPr>
      <t>优</t>
    </r>
    <r>
      <rPr>
        <sz val="11"/>
        <rFont val="Meiryo UI"/>
        <family val="2"/>
        <charset val="128"/>
      </rPr>
      <t>先映射到 LIPS.LFIMG（出荷数量）。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：VBAP.KWMENG（累積受注数量） / LIPS.ANZSN（荷姿数/梱包数）。AI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</si>
  <si>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史上存在多</t>
    </r>
    <r>
      <rPr>
        <sz val="11"/>
        <rFont val="ＭＳ Ｐゴシック"/>
        <family val="3"/>
        <charset val="128"/>
      </rPr>
      <t>种</t>
    </r>
    <r>
      <rPr>
        <sz val="11"/>
        <rFont val="Meiryo UI"/>
        <family val="2"/>
        <charset val="128"/>
      </rPr>
      <t>映射方式，「品目コード」（VBAP.MATNR）与「品目コード」（VBRP.MATNR）</t>
    </r>
    <r>
      <rPr>
        <sz val="11"/>
        <rFont val="ＭＳ Ｐゴシック"/>
        <family val="3"/>
        <charset val="128"/>
      </rPr>
      <t>频</t>
    </r>
    <r>
      <rPr>
        <sz val="11"/>
        <rFont val="Meiryo UI"/>
        <family val="2"/>
        <charset val="128"/>
      </rPr>
      <t>次相近。</t>
    </r>
    <r>
      <rPr>
        <sz val="11"/>
        <rFont val="ＭＳ Ｐゴシック"/>
        <family val="3"/>
        <charset val="128"/>
      </rPr>
      <t>两</t>
    </r>
    <r>
      <rPr>
        <sz val="11"/>
        <rFont val="Meiryo UI"/>
        <family val="2"/>
        <charset val="128"/>
      </rPr>
      <t>个 SAP 字段</t>
    </r>
    <r>
      <rPr>
        <sz val="11"/>
        <rFont val="ＭＳ Ｐゴシック"/>
        <family val="3"/>
        <charset val="128"/>
      </rPr>
      <t>语义</t>
    </r>
    <r>
      <rPr>
        <sz val="11"/>
        <rFont val="Meiryo UI"/>
        <family val="2"/>
        <charset val="128"/>
      </rPr>
      <t>不同，</t>
    </r>
    <r>
      <rPr>
        <sz val="11"/>
        <rFont val="ＭＳ Ｐゴシック"/>
        <family val="3"/>
        <charset val="128"/>
      </rPr>
      <t>请</t>
    </r>
    <r>
      <rPr>
        <sz val="11"/>
        <rFont val="Meiryo UI"/>
        <family val="2"/>
        <charset val="128"/>
      </rPr>
      <t>根据</t>
    </r>
    <r>
      <rPr>
        <sz val="11"/>
        <rFont val="ＭＳ Ｐゴシック"/>
        <family val="3"/>
        <charset val="128"/>
      </rPr>
      <t>实际业务</t>
    </r>
    <r>
      <rPr>
        <sz val="11"/>
        <rFont val="Meiryo UI"/>
        <family val="2"/>
        <charset val="128"/>
      </rPr>
      <t>判断</t>
    </r>
    <r>
      <rPr>
        <sz val="11"/>
        <rFont val="ＭＳ Ｐゴシック"/>
        <family val="3"/>
        <charset val="128"/>
      </rPr>
      <t>应</t>
    </r>
    <r>
      <rPr>
        <sz val="11"/>
        <rFont val="Meiryo UI"/>
        <family val="2"/>
        <charset val="128"/>
      </rPr>
      <t>使用</t>
    </r>
    <r>
      <rPr>
        <sz val="11"/>
        <rFont val="ＭＳ Ｐゴシック"/>
        <family val="3"/>
        <charset val="128"/>
      </rPr>
      <t>哪</t>
    </r>
    <r>
      <rPr>
        <sz val="11"/>
        <rFont val="Meiryo UI"/>
        <family val="2"/>
        <charset val="128"/>
      </rPr>
      <t>一个。</t>
    </r>
  </si>
  <si>
    <r>
      <t>多数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史映射到「品目テキスト」（MAKT.MAKTX），少数映射到「受注明細のテキスト (短)」（VBAP.ARKTX）。建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采用主</t>
    </r>
    <r>
      <rPr>
        <sz val="11"/>
        <rFont val="ＭＳ Ｐゴシック"/>
        <family val="3"/>
        <charset val="128"/>
      </rPr>
      <t>选项</t>
    </r>
    <r>
      <rPr>
        <sz val="11"/>
        <rFont val="Meiryo UI"/>
        <family val="2"/>
        <charset val="128"/>
      </rPr>
      <t>，除非</t>
    </r>
    <r>
      <rPr>
        <sz val="11"/>
        <rFont val="ＭＳ Ｐゴシック"/>
        <family val="3"/>
        <charset val="128"/>
      </rPr>
      <t>业务场</t>
    </r>
    <r>
      <rPr>
        <sz val="11"/>
        <rFont val="Meiryo UI"/>
        <family val="2"/>
        <charset val="128"/>
      </rPr>
      <t>景特殊。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</si>
  <si>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VEKP.EXIDV（外部ハンドリングユニット識別番号）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</si>
  <si>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0.80）：推荐「外部ハンドリングユニット識別番号」（VEKP.EXIDV）——荷札№（MMDD+PC+連番4桁）は物流上の荷札/ラベル識別子であり、SAP では HU（ハンドリングユニット）の外部ID である VEKP.EXIDV に対応するのが標準。業務辞書ルールおよび包装/荷札パターンと一致。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：LIPS.AESKD（得意先設計変更ステータス） / VEKP.VENUM（内部ハンドリングユニット番号）。AI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</si>
  <si>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t>★★（AI推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</si>
  <si>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 xml:space="preserve">史直接命中，信心 0.90）：推荐「出荷数量」（LIPS.LFIMG）——本接口是国内出荷連絡(MQ)入向，LIKP/LIPS </t>
    </r>
    <r>
      <rPr>
        <sz val="11"/>
        <rFont val="ＭＳ Ｐゴシック"/>
        <family val="3"/>
        <charset val="128"/>
      </rPr>
      <t>为</t>
    </r>
    <r>
      <rPr>
        <sz val="11"/>
        <rFont val="Meiryo UI"/>
        <family val="2"/>
        <charset val="128"/>
      </rPr>
      <t>核心出荷家族；'出荷連絡数' 以'数'</t>
    </r>
    <r>
      <rPr>
        <sz val="11"/>
        <rFont val="ＭＳ Ｐゴシック"/>
        <family val="3"/>
        <charset val="128"/>
      </rPr>
      <t>结</t>
    </r>
    <r>
      <rPr>
        <sz val="11"/>
        <rFont val="Meiryo UI"/>
        <family val="2"/>
        <charset val="128"/>
      </rPr>
      <t>尾 + 出荷明細上下文，</t>
    </r>
    <r>
      <rPr>
        <sz val="11"/>
        <rFont val="ＭＳ Ｐゴシック"/>
        <family val="3"/>
        <charset val="128"/>
      </rPr>
      <t>业务词</t>
    </r>
    <r>
      <rPr>
        <sz val="11"/>
        <rFont val="Meiryo UI"/>
        <family val="2"/>
        <charset val="128"/>
      </rPr>
      <t>典明</t>
    </r>
    <r>
      <rPr>
        <sz val="11"/>
        <rFont val="ＭＳ Ｐゴシック"/>
        <family val="3"/>
        <charset val="128"/>
      </rPr>
      <t>确</t>
    </r>
    <r>
      <rPr>
        <sz val="11"/>
        <rFont val="Meiryo UI"/>
        <family val="2"/>
        <charset val="128"/>
      </rPr>
      <t>指出出荷/交</t>
    </r>
    <r>
      <rPr>
        <sz val="11"/>
        <rFont val="ＭＳ Ｐゴシック"/>
        <family val="3"/>
        <charset val="128"/>
      </rPr>
      <t>货</t>
    </r>
    <r>
      <rPr>
        <sz val="11"/>
        <rFont val="Meiryo UI"/>
        <family val="2"/>
        <charset val="128"/>
      </rPr>
      <t>上下文</t>
    </r>
    <r>
      <rPr>
        <sz val="11"/>
        <rFont val="ＭＳ Ｐゴシック"/>
        <family val="3"/>
        <charset val="128"/>
      </rPr>
      <t>应选</t>
    </r>
    <r>
      <rPr>
        <sz val="11"/>
        <rFont val="Meiryo UI"/>
        <family val="2"/>
        <charset val="128"/>
      </rPr>
      <t xml:space="preserve"> LIPS.LFIMG。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：VBAP.KWMENG（累積受注数量） / LIPS.UMVKZ（販売単位への換算係数 (分子)）。AI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</si>
  <si>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LIPS.LFIMG（出荷数量 (販売単位)）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</si>
  <si>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0.72）：推荐「出荷数量 (販売単位)」（LIPS.LFIMG）——本接口</t>
    </r>
    <r>
      <rPr>
        <sz val="11"/>
        <rFont val="ＭＳ Ｐゴシック"/>
        <family val="3"/>
        <charset val="128"/>
      </rPr>
      <t>为</t>
    </r>
    <r>
      <rPr>
        <sz val="11"/>
        <rFont val="Meiryo UI"/>
        <family val="2"/>
        <charset val="128"/>
      </rPr>
      <t>国内出荷連絡(MQ)，LIPS 家族已</t>
    </r>
    <r>
      <rPr>
        <sz val="11"/>
        <rFont val="ＭＳ Ｐゴシック"/>
        <family val="3"/>
        <charset val="128"/>
      </rPr>
      <t>强</t>
    </r>
    <r>
      <rPr>
        <sz val="11"/>
        <rFont val="Meiryo UI"/>
        <family val="2"/>
        <charset val="128"/>
      </rPr>
      <t xml:space="preserve">命中。'不足数' 表示出荷連絡で通知された不足分の数量，属于出荷明細数量概念，最接近 LIPS.LFIMG（出荷数量）。SAP </t>
    </r>
    <r>
      <rPr>
        <sz val="11"/>
        <rFont val="ＭＳ Ｐゴシック"/>
        <family val="3"/>
        <charset val="128"/>
      </rPr>
      <t>标</t>
    </r>
    <r>
      <rPr>
        <sz val="11"/>
        <rFont val="Meiryo UI"/>
        <family val="2"/>
        <charset val="128"/>
      </rPr>
      <t>准无</t>
    </r>
    <r>
      <rPr>
        <sz val="11"/>
        <rFont val="ＭＳ Ｐゴシック"/>
        <family val="3"/>
        <charset val="128"/>
      </rPr>
      <t>专</t>
    </r>
    <r>
      <rPr>
        <sz val="11"/>
        <rFont val="Meiryo UI"/>
        <family val="2"/>
        <charset val="128"/>
      </rPr>
      <t>用'不足数'字段，一般以差分数量存入 LIPS 明細数量。。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：LIPS.LGMNG（出荷数量 (基本単位)） / VBAP.KWMENG（受注数量 (販売単位)）。AI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</si>
  <si>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LIKP.LFART（納品タイプ）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</si>
  <si>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0.82）：推荐「納品タイプ」（LIKP.LFART）——入出庫形態=入出荷の種類/区分。本接口は出荷連絡(LIKP/LIPS)中心で、'形態'は分類キー。出荷伝票ヘッダの納品タイプ LIKP.LFART が最有力。長さ3/C型とも LFART (CHAR4) に近く整合。。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：VBAK.AUART（販売伝票タイプ） / VBKD.VSART（出荷タイプ）。AI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</si>
  <si>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LIPS.ANZPK（荷役単位数）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</si>
  <si>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0.70）：推荐「荷役単位数」（LIPS.ANZPK）——ケース数=箱/ケースの個数。本接口是出荷連絡(LIKP/LIPS)上下文，LIPS.ANZPK 表示出荷明細に紐づく荷役単位(ケース/パッケージ)の数、</t>
    </r>
    <r>
      <rPr>
        <sz val="11"/>
        <rFont val="ＭＳ Ｐゴシック"/>
        <family val="3"/>
        <charset val="128"/>
      </rPr>
      <t>长</t>
    </r>
    <r>
      <rPr>
        <sz val="11"/>
        <rFont val="Meiryo UI"/>
        <family val="2"/>
        <charset val="128"/>
      </rPr>
      <t>度3位(PIC 999)と整合。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：VEKP.ANZPA（同一荷役単位数） / LIPS.LFIMG（出荷数量）。AI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</si>
  <si>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VEKP.EXIDV（外部ハンドリングユニット識別）</t>
    </r>
  </si>
  <si>
    <r>
      <t>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 xml:space="preserve"> 需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</si>
  <si>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0.70）：推荐「外部ハンドリングユニット識別」（VEKP.EXIDV）——『荷集めボックスNo』は出荷ピッキング用の箱番号。業務辞書ヒット（BOX/ボックス → HU 関連）＋入向 IF で外部系から来る箱 ID → HU 外部識別 VEKP.EXIDV が第一候補。。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：VEKP.VENUM（ハンドリングユニット番号（内部）） / VEPO.VENUM（HU 明細のハンドリングユニット番号）。AI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</si>
  <si>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合字段</t>
    </r>
  </si>
  <si>
    <r>
      <t>★★（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1次，需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核）</t>
    </r>
  </si>
  <si>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史上一致映射到「品目コード」（VBAP.MATNR），共 1 次，参考：IFZ9000025。建</t>
    </r>
    <r>
      <rPr>
        <sz val="11"/>
        <rFont val="ＭＳ Ｐゴシック"/>
        <family val="3"/>
        <charset val="128"/>
      </rPr>
      <t>议</t>
    </r>
    <r>
      <rPr>
        <sz val="11"/>
        <rFont val="Meiryo UI"/>
        <family val="2"/>
        <charset val="128"/>
      </rPr>
      <t>直接采用。</t>
    </r>
  </si>
  <si>
    <r>
      <t>[AI推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] VBAP.MATNR（品目コード）</t>
    </r>
  </si>
  <si>
    <r>
      <t>AI 推</t>
    </r>
    <r>
      <rPr>
        <sz val="11"/>
        <rFont val="ＭＳ Ｐゴシック"/>
        <family val="3"/>
        <charset val="128"/>
      </rPr>
      <t>测</t>
    </r>
    <r>
      <rPr>
        <sz val="11"/>
        <rFont val="Meiryo UI"/>
        <family val="2"/>
        <charset val="128"/>
      </rPr>
      <t>（无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史直接命中，信心 0.90）：推荐「品目コード」（VBAP.MATNR）——本接口</t>
    </r>
    <r>
      <rPr>
        <sz val="11"/>
        <rFont val="ＭＳ Ｐゴシック"/>
        <family val="3"/>
        <charset val="128"/>
      </rPr>
      <t>为</t>
    </r>
    <r>
      <rPr>
        <sz val="11"/>
        <rFont val="Meiryo UI"/>
        <family val="2"/>
        <charset val="128"/>
      </rPr>
      <t>出荷連絡（入向），</t>
    </r>
    <r>
      <rPr>
        <sz val="11"/>
        <rFont val="ＭＳ Ｐゴシック"/>
        <family val="3"/>
        <charset val="128"/>
      </rPr>
      <t>业务</t>
    </r>
    <r>
      <rPr>
        <sz val="11"/>
        <rFont val="Meiryo UI"/>
        <family val="2"/>
        <charset val="128"/>
      </rPr>
      <t>明細</t>
    </r>
    <r>
      <rPr>
        <sz val="11"/>
        <rFont val="ＭＳ Ｐゴシック"/>
        <family val="3"/>
        <charset val="128"/>
      </rPr>
      <t>侧</t>
    </r>
    <r>
      <rPr>
        <sz val="11"/>
        <rFont val="Meiryo UI"/>
        <family val="2"/>
        <charset val="128"/>
      </rPr>
      <t>品番</t>
    </r>
    <r>
      <rPr>
        <sz val="11"/>
        <rFont val="ＭＳ Ｐゴシック"/>
        <family val="3"/>
        <charset val="128"/>
      </rPr>
      <t>历</t>
    </r>
    <r>
      <rPr>
        <sz val="11"/>
        <rFont val="Meiryo UI"/>
        <family val="2"/>
        <charset val="128"/>
      </rPr>
      <t>史映射 ×6 均指向 VBAP.MATNR；本</t>
    </r>
    <r>
      <rPr>
        <sz val="11"/>
        <rFont val="ＭＳ Ｐゴシック"/>
        <family val="3"/>
        <charset val="128"/>
      </rPr>
      <t>书</t>
    </r>
    <r>
      <rPr>
        <sz val="11"/>
        <rFont val="Meiryo UI"/>
        <family val="2"/>
        <charset val="128"/>
      </rPr>
      <t>已有 品番(BHIN)→VBAP.MATNR、メーカー略号(BMEKRYG)→VBAP.MATNR 的既定分布，20桁品番沿用相同</t>
    </r>
    <r>
      <rPr>
        <sz val="11"/>
        <rFont val="ＭＳ Ｐゴシック"/>
        <family val="3"/>
        <charset val="128"/>
      </rPr>
      <t>结构</t>
    </r>
    <r>
      <rPr>
        <sz val="11"/>
        <rFont val="Meiryo UI"/>
        <family val="2"/>
        <charset val="128"/>
      </rPr>
      <t>。</t>
    </r>
    <r>
      <rPr>
        <sz val="11"/>
        <rFont val="ＭＳ Ｐゴシック"/>
        <family val="3"/>
        <charset val="128"/>
      </rPr>
      <t>备选</t>
    </r>
    <r>
      <rPr>
        <sz val="11"/>
        <rFont val="Meiryo UI"/>
        <family val="2"/>
        <charset val="128"/>
      </rPr>
      <t>：LIPS.MATNR（品目コード） / MARA.MATNR（品目コード）。AI 推断</t>
    </r>
    <r>
      <rPr>
        <sz val="11"/>
        <rFont val="ＭＳ Ｐゴシック"/>
        <family val="3"/>
        <charset val="128"/>
      </rPr>
      <t>仅</t>
    </r>
    <r>
      <rPr>
        <sz val="11"/>
        <rFont val="Meiryo UI"/>
        <family val="2"/>
        <charset val="128"/>
      </rPr>
      <t>作参考，</t>
    </r>
    <r>
      <rPr>
        <sz val="11"/>
        <rFont val="ＭＳ Ｐゴシック"/>
        <family val="3"/>
        <charset val="128"/>
      </rPr>
      <t>请务</t>
    </r>
    <r>
      <rPr>
        <sz val="11"/>
        <rFont val="Meiryo UI"/>
        <family val="2"/>
        <charset val="128"/>
      </rPr>
      <t>必人工</t>
    </r>
    <r>
      <rPr>
        <sz val="11"/>
        <rFont val="ＭＳ Ｐゴシック"/>
        <family val="3"/>
        <charset val="128"/>
      </rPr>
      <t>复</t>
    </r>
    <r>
      <rPr>
        <sz val="11"/>
        <rFont val="Meiryo UI"/>
        <family val="2"/>
        <charset val="128"/>
      </rPr>
      <t>核。</t>
    </r>
  </si>
  <si>
    <r>
      <t>（填充/占位，跳</t>
    </r>
    <r>
      <rPr>
        <sz val="11"/>
        <rFont val="ＭＳ Ｐゴシック"/>
        <family val="3"/>
        <charset val="128"/>
      </rPr>
      <t>过</t>
    </r>
    <r>
      <rPr>
        <sz val="11"/>
        <rFont val="Meiryo UI"/>
        <family val="2"/>
        <charset val="128"/>
      </rPr>
      <t>映射）</t>
    </r>
  </si>
  <si>
    <r>
      <t>本字段由多个子字段</t>
    </r>
    <r>
      <rPr>
        <sz val="11"/>
        <rFont val="ＭＳ Ｐゴシック"/>
        <family val="3"/>
        <charset val="128"/>
      </rPr>
      <t>拼</t>
    </r>
    <r>
      <rPr>
        <sz val="11"/>
        <rFont val="Meiryo UI"/>
        <family val="2"/>
        <charset val="128"/>
      </rPr>
      <t>接，下列</t>
    </r>
    <r>
      <rPr>
        <sz val="11"/>
        <rFont val="微软雅黑"/>
        <family val="2"/>
        <charset val="134"/>
      </rPr>
      <t>对</t>
    </r>
    <r>
      <rPr>
        <sz val="11"/>
        <rFont val="MS PGothic"/>
        <family val="2"/>
        <charset val="128"/>
      </rPr>
      <t>每</t>
    </r>
    <r>
      <rPr>
        <sz val="11"/>
        <rFont val="Meiryo UI"/>
        <family val="2"/>
        <charset val="128"/>
      </rPr>
      <t>个子字段分</t>
    </r>
    <r>
      <rPr>
        <sz val="11"/>
        <rFont val="微软雅黑"/>
        <family val="2"/>
        <charset val="134"/>
      </rPr>
      <t>别给</t>
    </r>
    <r>
      <rPr>
        <sz val="11"/>
        <rFont val="Meiryo UI"/>
        <family val="2"/>
        <charset val="128"/>
      </rPr>
      <t>出推荐：
得意先（0.67）：主要映射是「得意先」（BESG.KUNNR），也有若干映射到「受注先」（VBAK.KUNNR）。</t>
    </r>
    <r>
      <rPr>
        <sz val="11"/>
        <rFont val="微软雅黑"/>
        <family val="2"/>
        <charset val="134"/>
      </rPr>
      <t>请结</t>
    </r>
    <r>
      <rPr>
        <sz val="11"/>
        <rFont val="Meiryo UI"/>
        <family val="2"/>
        <charset val="128"/>
      </rPr>
      <t>合</t>
    </r>
    <r>
      <rPr>
        <sz val="11"/>
        <rFont val="微软雅黑"/>
        <family val="2"/>
        <charset val="134"/>
      </rPr>
      <t>业务</t>
    </r>
    <r>
      <rPr>
        <sz val="11"/>
        <rFont val="Meiryo UI"/>
        <family val="2"/>
        <charset val="128"/>
      </rPr>
      <t>判断。
納所（0.50）：</t>
    </r>
    <r>
      <rPr>
        <sz val="11"/>
        <rFont val="微软雅黑"/>
        <family val="2"/>
        <charset val="134"/>
      </rPr>
      <t>历</t>
    </r>
    <r>
      <rPr>
        <sz val="11"/>
        <rFont val="Meiryo UI"/>
        <family val="2"/>
        <charset val="128"/>
      </rPr>
      <t>史上存在多</t>
    </r>
    <r>
      <rPr>
        <sz val="11"/>
        <rFont val="ＭＳ Ｐゴシック"/>
        <family val="3"/>
        <charset val="128"/>
      </rPr>
      <t>种</t>
    </r>
    <r>
      <rPr>
        <sz val="11"/>
        <rFont val="Meiryo UI"/>
        <family val="2"/>
        <charset val="128"/>
      </rPr>
      <t>映射方式，「出荷先」（LIKP.KUNNR）与「取引先機能出荷先の得意先コード」（VBPA.KUNNR）</t>
    </r>
    <r>
      <rPr>
        <sz val="11"/>
        <rFont val="微软雅黑"/>
        <family val="2"/>
        <charset val="134"/>
      </rPr>
      <t>频</t>
    </r>
    <r>
      <rPr>
        <sz val="11"/>
        <rFont val="Meiryo UI"/>
        <family val="2"/>
        <charset val="128"/>
      </rPr>
      <t>次相近。</t>
    </r>
    <r>
      <rPr>
        <sz val="11"/>
        <rFont val="ＭＳ Ｐゴシック"/>
        <family val="3"/>
        <charset val="128"/>
      </rPr>
      <t>两</t>
    </r>
    <r>
      <rPr>
        <sz val="11"/>
        <rFont val="Meiryo UI"/>
        <family val="2"/>
        <charset val="128"/>
      </rPr>
      <t>个 SAP 字段</t>
    </r>
    <r>
      <rPr>
        <sz val="11"/>
        <rFont val="微软雅黑"/>
        <family val="2"/>
        <charset val="134"/>
      </rPr>
      <t>语义</t>
    </r>
    <r>
      <rPr>
        <sz val="11"/>
        <rFont val="Meiryo UI"/>
        <family val="2"/>
        <charset val="128"/>
      </rPr>
      <t>不同，</t>
    </r>
    <r>
      <rPr>
        <sz val="11"/>
        <rFont val="微软雅黑"/>
        <family val="2"/>
        <charset val="134"/>
      </rPr>
      <t>请</t>
    </r>
    <r>
      <rPr>
        <sz val="11"/>
        <rFont val="Meiryo UI"/>
        <family val="2"/>
        <charset val="128"/>
      </rPr>
      <t>根据</t>
    </r>
    <r>
      <rPr>
        <sz val="11"/>
        <rFont val="微软雅黑"/>
        <family val="2"/>
        <charset val="134"/>
      </rPr>
      <t>实际业务</t>
    </r>
    <r>
      <rPr>
        <sz val="11"/>
        <rFont val="Meiryo UI"/>
        <family val="2"/>
        <charset val="128"/>
      </rPr>
      <t>判断</t>
    </r>
    <r>
      <rPr>
        <sz val="11"/>
        <rFont val="微软雅黑"/>
        <family val="2"/>
        <charset val="134"/>
      </rPr>
      <t>应</t>
    </r>
    <r>
      <rPr>
        <sz val="11"/>
        <rFont val="Meiryo UI"/>
        <family val="2"/>
        <charset val="128"/>
      </rPr>
      <t>使用</t>
    </r>
    <r>
      <rPr>
        <sz val="11"/>
        <rFont val="ＭＳ Ｐゴシック"/>
        <family val="3"/>
        <charset val="128"/>
      </rPr>
      <t>哪</t>
    </r>
    <r>
      <rPr>
        <sz val="11"/>
        <rFont val="Meiryo UI"/>
        <family val="2"/>
        <charset val="128"/>
      </rPr>
      <t>一个。</t>
    </r>
    <phoneticPr fontId="13" type="noConversion"/>
  </si>
  <si>
    <t>得意先→BESG.KUNNR（得意先） ＋ 納所→LIKP.KUNNR（出荷先）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</si>
</sst>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;[Red]0"/>
    <numFmt numFmtId="178" formatCode="0_);[Red]\(0\);&quot;&quot;"/>
  </numFmts>
  <fonts count="16">
    <font>
      <sz val="11"/>
      <name val="ＭＳ Ｐゴシック"/>
      <family val="3"/>
      <charset val="128"/>
    </font>
    <font>
      <b/>
      <sz val="18"/>
      <name val="ＭＳ 明朝"/>
      <family val="1"/>
      <charset val="128"/>
    </font>
    <font>
      <b/>
      <sz val="12"/>
      <name val="ＭＳ Ｐゴシック"/>
      <family val="3"/>
      <charset val="128"/>
    </font>
    <font>
      <sz val="9"/>
      <color rgb="FF008000"/>
      <name val="ＭＳ 明朝"/>
      <family val="1"/>
      <charset val="128"/>
    </font>
    <font>
      <sz val="8"/>
      <color rgb="FF008000"/>
      <name val="ＭＳ 明朝"/>
      <family val="1"/>
      <charset val="128"/>
    </font>
    <font>
      <b/>
      <sz val="12"/>
      <color rgb="FFFFFFFF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name val="ＭＳ Ｐ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b/>
      <sz val="11"/>
      <name val="Meiryo UI"/>
      <family val="2"/>
      <charset val="128"/>
    </font>
    <font>
      <sz val="11"/>
      <name val="Meiryo UI"/>
      <family val="2"/>
      <charset val="128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MS P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52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medium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/>
      <bottom style="hair">
        <color rgb="FF008000"/>
      </bottom>
      <diagonal/>
    </border>
    <border>
      <left/>
      <right style="thin">
        <color rgb="FF008000"/>
      </right>
      <top/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medium">
        <color rgb="FF008000"/>
      </bottom>
      <diagonal/>
    </border>
    <border>
      <left/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 style="medium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/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/>
      <right/>
      <top style="medium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thin">
        <color rgb="FF008000"/>
      </top>
      <bottom style="medium">
        <color rgb="FF008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110">
    <xf numFmtId="0" fontId="0" fillId="0" borderId="0" xfId="0"/>
    <xf numFmtId="0" fontId="2" fillId="0" borderId="0" xfId="0" applyFon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76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left" vertical="center" shrinkToFit="1"/>
    </xf>
    <xf numFmtId="49" fontId="6" fillId="0" borderId="10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shrinkToFit="1"/>
    </xf>
    <xf numFmtId="177" fontId="6" fillId="0" borderId="11" xfId="0" applyNumberFormat="1" applyFont="1" applyBorder="1" applyAlignment="1">
      <alignment horizontal="center" vertical="center" shrinkToFit="1"/>
    </xf>
    <xf numFmtId="177" fontId="6" fillId="0" borderId="1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 shrinkToFit="1"/>
    </xf>
    <xf numFmtId="177" fontId="6" fillId="0" borderId="9" xfId="0" applyNumberFormat="1" applyFont="1" applyBorder="1" applyAlignment="1">
      <alignment horizontal="center" vertical="center"/>
    </xf>
    <xf numFmtId="176" fontId="6" fillId="0" borderId="14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left" vertical="center" shrinkToFit="1"/>
    </xf>
    <xf numFmtId="49" fontId="6" fillId="0" borderId="16" xfId="0" applyNumberFormat="1" applyFont="1" applyBorder="1" applyAlignment="1">
      <alignment horizontal="left" vertical="center"/>
    </xf>
    <xf numFmtId="177" fontId="6" fillId="0" borderId="17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8" fontId="6" fillId="0" borderId="17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3" borderId="20" xfId="0" applyFont="1" applyFill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left" vertical="center"/>
    </xf>
    <xf numFmtId="178" fontId="6" fillId="0" borderId="21" xfId="0" applyNumberFormat="1" applyFont="1" applyBorder="1" applyAlignment="1">
      <alignment horizontal="center" vertical="center"/>
    </xf>
    <xf numFmtId="177" fontId="0" fillId="0" borderId="0" xfId="0" applyNumberFormat="1"/>
    <xf numFmtId="49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left" vertical="center" shrinkToFit="1"/>
    </xf>
    <xf numFmtId="49" fontId="8" fillId="0" borderId="16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center" vertical="center" shrinkToFi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left" vertical="center" shrinkToFit="1"/>
    </xf>
    <xf numFmtId="49" fontId="6" fillId="0" borderId="24" xfId="0" applyNumberFormat="1" applyFont="1" applyBorder="1" applyAlignment="1">
      <alignment horizontal="left" vertical="center"/>
    </xf>
    <xf numFmtId="177" fontId="6" fillId="0" borderId="25" xfId="0" applyNumberFormat="1" applyFont="1" applyBorder="1" applyAlignment="1">
      <alignment horizontal="center" vertical="center"/>
    </xf>
    <xf numFmtId="177" fontId="6" fillId="0" borderId="26" xfId="0" applyNumberFormat="1" applyFont="1" applyBorder="1" applyAlignment="1">
      <alignment horizontal="center" vertical="center"/>
    </xf>
    <xf numFmtId="177" fontId="6" fillId="0" borderId="23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vertical="center"/>
    </xf>
    <xf numFmtId="0" fontId="6" fillId="0" borderId="28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 shrinkToFit="1"/>
    </xf>
    <xf numFmtId="177" fontId="6" fillId="0" borderId="6" xfId="0" applyNumberFormat="1" applyFont="1" applyBorder="1" applyAlignment="1">
      <alignment horizontal="center" vertical="center" shrinkToFit="1"/>
    </xf>
    <xf numFmtId="0" fontId="3" fillId="2" borderId="3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shrinkToFit="1"/>
    </xf>
    <xf numFmtId="49" fontId="6" fillId="0" borderId="0" xfId="0" applyNumberFormat="1" applyFont="1" applyAlignment="1">
      <alignment vertical="center"/>
    </xf>
    <xf numFmtId="49" fontId="6" fillId="0" borderId="32" xfId="0" applyNumberFormat="1" applyFont="1" applyBorder="1" applyAlignment="1">
      <alignment horizontal="left" vertical="center"/>
    </xf>
    <xf numFmtId="49" fontId="4" fillId="2" borderId="33" xfId="0" applyNumberFormat="1" applyFont="1" applyFill="1" applyBorder="1" applyAlignment="1">
      <alignment vertical="center" shrinkToFit="1"/>
    </xf>
    <xf numFmtId="0" fontId="3" fillId="2" borderId="33" xfId="0" applyFont="1" applyFill="1" applyBorder="1" applyAlignment="1">
      <alignment horizontal="center" vertical="center" shrinkToFit="1"/>
    </xf>
    <xf numFmtId="49" fontId="6" fillId="0" borderId="34" xfId="0" applyNumberFormat="1" applyFont="1" applyBorder="1" applyAlignment="1">
      <alignment horizontal="center" vertical="center" shrinkToFit="1"/>
    </xf>
    <xf numFmtId="49" fontId="6" fillId="0" borderId="36" xfId="0" applyNumberFormat="1" applyFont="1" applyBorder="1" applyAlignment="1">
      <alignment horizontal="left" vertical="center"/>
    </xf>
    <xf numFmtId="49" fontId="4" fillId="2" borderId="37" xfId="0" applyNumberFormat="1" applyFont="1" applyFill="1" applyBorder="1" applyAlignment="1">
      <alignment vertical="center" shrinkToFit="1"/>
    </xf>
    <xf numFmtId="0" fontId="3" fillId="2" borderId="37" xfId="0" applyFont="1" applyFill="1" applyBorder="1" applyAlignment="1">
      <alignment horizontal="center" vertical="center" shrinkToFit="1"/>
    </xf>
    <xf numFmtId="49" fontId="6" fillId="0" borderId="38" xfId="0" applyNumberFormat="1" applyFont="1" applyBorder="1" applyAlignment="1">
      <alignment horizontal="center" vertical="center" shrinkToFit="1"/>
    </xf>
    <xf numFmtId="49" fontId="6" fillId="0" borderId="40" xfId="0" applyNumberFormat="1" applyFont="1" applyBorder="1" applyAlignment="1">
      <alignment horizontal="left" vertical="center"/>
    </xf>
    <xf numFmtId="49" fontId="4" fillId="2" borderId="41" xfId="0" applyNumberFormat="1" applyFont="1" applyFill="1" applyBorder="1" applyAlignment="1">
      <alignment vertical="center" shrinkToFit="1"/>
    </xf>
    <xf numFmtId="0" fontId="3" fillId="2" borderId="41" xfId="0" applyFont="1" applyFill="1" applyBorder="1" applyAlignment="1">
      <alignment horizontal="center" vertical="center" shrinkToFit="1"/>
    </xf>
    <xf numFmtId="49" fontId="6" fillId="0" borderId="42" xfId="0" applyNumberFormat="1" applyFont="1" applyBorder="1" applyAlignment="1">
      <alignment vertical="center" shrinkToFit="1"/>
    </xf>
    <xf numFmtId="0" fontId="0" fillId="0" borderId="0" xfId="0" applyAlignment="1">
      <alignment wrapText="1"/>
    </xf>
    <xf numFmtId="49" fontId="6" fillId="0" borderId="19" xfId="0" applyNumberFormat="1" applyFont="1" applyBorder="1" applyAlignment="1">
      <alignment horizontal="left" vertical="center" shrinkToFit="1"/>
    </xf>
    <xf numFmtId="0" fontId="0" fillId="0" borderId="43" xfId="0" applyBorder="1"/>
    <xf numFmtId="49" fontId="8" fillId="0" borderId="19" xfId="0" applyNumberFormat="1" applyFont="1" applyBorder="1" applyAlignment="1">
      <alignment horizontal="left" vertical="center" shrinkToFit="1"/>
    </xf>
    <xf numFmtId="49" fontId="3" fillId="2" borderId="35" xfId="0" applyNumberFormat="1" applyFont="1" applyFill="1" applyBorder="1" applyAlignment="1">
      <alignment vertical="center" shrinkToFit="1"/>
    </xf>
    <xf numFmtId="0" fontId="0" fillId="0" borderId="46" xfId="0" applyBorder="1"/>
    <xf numFmtId="49" fontId="6" fillId="0" borderId="37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left" vertical="center" wrapText="1" shrinkToFit="1"/>
    </xf>
    <xf numFmtId="49" fontId="6" fillId="0" borderId="37" xfId="0" applyNumberFormat="1" applyFont="1" applyBorder="1" applyAlignment="1">
      <alignment horizontal="left" vertical="center"/>
    </xf>
    <xf numFmtId="0" fontId="0" fillId="0" borderId="47" xfId="0" applyBorder="1"/>
    <xf numFmtId="49" fontId="6" fillId="0" borderId="27" xfId="0" applyNumberFormat="1" applyFont="1" applyBorder="1" applyAlignment="1">
      <alignment horizontal="left" vertical="center"/>
    </xf>
    <xf numFmtId="0" fontId="0" fillId="0" borderId="27" xfId="0" applyBorder="1"/>
    <xf numFmtId="49" fontId="3" fillId="2" borderId="39" xfId="0" applyNumberFormat="1" applyFont="1" applyFill="1" applyBorder="1" applyAlignment="1">
      <alignment vertical="center" shrinkToFit="1"/>
    </xf>
    <xf numFmtId="0" fontId="0" fillId="0" borderId="48" xfId="0" applyBorder="1"/>
    <xf numFmtId="49" fontId="6" fillId="0" borderId="41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 wrapText="1" shrinkToFit="1"/>
    </xf>
    <xf numFmtId="0" fontId="3" fillId="2" borderId="7" xfId="0" applyFont="1" applyFill="1" applyBorder="1" applyAlignment="1">
      <alignment horizontal="center" vertical="center"/>
    </xf>
    <xf numFmtId="0" fontId="0" fillId="0" borderId="7" xfId="0" applyBorder="1"/>
    <xf numFmtId="49" fontId="6" fillId="0" borderId="41" xfId="0" applyNumberFormat="1" applyFont="1" applyBorder="1" applyAlignment="1">
      <alignment horizontal="left" vertical="center"/>
    </xf>
    <xf numFmtId="0" fontId="0" fillId="0" borderId="49" xfId="0" applyBorder="1"/>
    <xf numFmtId="49" fontId="3" fillId="2" borderId="31" xfId="0" applyNumberFormat="1" applyFont="1" applyFill="1" applyBorder="1" applyAlignment="1">
      <alignment vertical="center" shrinkToFit="1"/>
    </xf>
    <xf numFmtId="0" fontId="0" fillId="0" borderId="44" xfId="0" applyBorder="1"/>
    <xf numFmtId="49" fontId="6" fillId="0" borderId="3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/>
    <xf numFmtId="49" fontId="6" fillId="0" borderId="33" xfId="0" applyNumberFormat="1" applyFont="1" applyBorder="1" applyAlignment="1">
      <alignment horizontal="left" vertical="center" wrapText="1"/>
    </xf>
    <xf numFmtId="0" fontId="0" fillId="0" borderId="45" xfId="0" applyBorder="1"/>
    <xf numFmtId="49" fontId="6" fillId="0" borderId="13" xfId="0" applyNumberFormat="1" applyFont="1" applyBorder="1" applyAlignment="1">
      <alignment horizontal="left" vertical="center"/>
    </xf>
    <xf numFmtId="0" fontId="0" fillId="0" borderId="13" xfId="0" applyBorder="1"/>
    <xf numFmtId="0" fontId="0" fillId="0" borderId="51" xfId="0" applyBorder="1"/>
    <xf numFmtId="0" fontId="7" fillId="0" borderId="51" xfId="0" applyFont="1" applyBorder="1"/>
    <xf numFmtId="0" fontId="11" fillId="4" borderId="50" xfId="0" applyFont="1" applyFill="1" applyBorder="1" applyAlignment="1">
      <alignment horizontal="center" vertical="center" wrapText="1"/>
    </xf>
    <xf numFmtId="0" fontId="12" fillId="5" borderId="50" xfId="0" applyFont="1" applyFill="1" applyBorder="1"/>
    <xf numFmtId="0" fontId="12" fillId="6" borderId="50" xfId="0" applyFont="1" applyFill="1" applyBorder="1"/>
    <xf numFmtId="0" fontId="12" fillId="6" borderId="50" xfId="0" applyFont="1" applyFill="1" applyBorder="1" applyAlignment="1">
      <alignment horizontal="center"/>
    </xf>
    <xf numFmtId="0" fontId="12" fillId="6" borderId="50" xfId="0" applyFont="1" applyFill="1" applyBorder="1" applyAlignment="1">
      <alignment vertical="top" wrapText="1"/>
    </xf>
    <xf numFmtId="0" fontId="12" fillId="7" borderId="50" xfId="0" applyFont="1" applyFill="1" applyBorder="1"/>
    <xf numFmtId="0" fontId="12" fillId="7" borderId="50" xfId="0" applyFont="1" applyFill="1" applyBorder="1" applyAlignment="1">
      <alignment horizontal="center"/>
    </xf>
    <xf numFmtId="0" fontId="12" fillId="7" borderId="50" xfId="0" applyFont="1" applyFill="1" applyBorder="1" applyAlignment="1">
      <alignment vertical="top" wrapText="1"/>
    </xf>
  </cellXfs>
  <cellStyles count="2">
    <cellStyle name="標準_Sheet1" xfId="1" xr:uid="{00000000-0005-0000-0000-000006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E1" zoomScaleNormal="100" workbookViewId="0">
      <selection activeCell="N22" sqref="N22"/>
    </sheetView>
  </sheetViews>
  <sheetFormatPr defaultColWidth="3.5" defaultRowHeight="13.5"/>
  <cols>
    <col min="1" max="1" width="3.625" customWidth="1"/>
    <col min="2" max="2" width="4.625" customWidth="1"/>
    <col min="3" max="3" width="21.25" customWidth="1"/>
    <col min="4" max="4" width="14.125" customWidth="1"/>
    <col min="5" max="5" width="5.375" customWidth="1"/>
    <col min="6" max="7" width="6.625" customWidth="1"/>
    <col min="8" max="8" width="5.625" customWidth="1"/>
    <col min="9" max="9" width="6.625" customWidth="1"/>
    <col min="10" max="10" width="4.5" customWidth="1"/>
    <col min="11" max="11" width="6.125" customWidth="1"/>
    <col min="12" max="12" width="9.625" customWidth="1"/>
    <col min="13" max="13" width="3" customWidth="1"/>
    <col min="14" max="14" width="25.5" customWidth="1"/>
    <col min="15" max="15" width="22.125" customWidth="1"/>
    <col min="16" max="16" width="5" customWidth="1"/>
    <col min="17" max="17" width="40" customWidth="1"/>
    <col min="18" max="18" width="18" customWidth="1"/>
    <col min="19" max="19" width="60" customWidth="1"/>
  </cols>
  <sheetData>
    <row r="1" spans="1:19" ht="39.950000000000003" customHeight="1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N1" s="1" t="s">
        <v>1</v>
      </c>
    </row>
    <row r="2" spans="1:19" ht="23.1" customHeight="1">
      <c r="A2" s="2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5" t="s">
        <v>7</v>
      </c>
      <c r="G2" s="6" t="s">
        <v>8</v>
      </c>
      <c r="H2" s="3" t="s">
        <v>9</v>
      </c>
      <c r="I2" s="7" t="s">
        <v>10</v>
      </c>
      <c r="J2" s="3" t="s">
        <v>11</v>
      </c>
      <c r="K2" s="87" t="s">
        <v>12</v>
      </c>
      <c r="L2" s="88"/>
      <c r="O2" s="8" t="s">
        <v>13</v>
      </c>
      <c r="Q2" s="102" t="s">
        <v>14</v>
      </c>
      <c r="R2" s="102" t="s">
        <v>15</v>
      </c>
      <c r="S2" s="102" t="s">
        <v>191</v>
      </c>
    </row>
    <row r="3" spans="1:19" ht="23.1" customHeight="1">
      <c r="A3" s="9">
        <v>1</v>
      </c>
      <c r="B3" s="10" t="s">
        <v>16</v>
      </c>
      <c r="C3" s="11" t="s">
        <v>17</v>
      </c>
      <c r="D3" s="12" t="s">
        <v>18</v>
      </c>
      <c r="E3" s="13" t="s">
        <v>19</v>
      </c>
      <c r="F3" s="14">
        <v>2</v>
      </c>
      <c r="G3" s="15"/>
      <c r="H3" s="16">
        <v>1</v>
      </c>
      <c r="I3" s="17">
        <v>2</v>
      </c>
      <c r="J3" s="18"/>
      <c r="K3" s="98" t="s">
        <v>20</v>
      </c>
      <c r="L3" s="99"/>
      <c r="O3" s="8" t="s">
        <v>21</v>
      </c>
      <c r="Q3" s="103" t="s">
        <v>192</v>
      </c>
      <c r="R3" s="103" t="s">
        <v>22</v>
      </c>
      <c r="S3" s="103" t="s">
        <v>193</v>
      </c>
    </row>
    <row r="4" spans="1:19" ht="23.1" customHeight="1">
      <c r="A4" s="19">
        <v>2</v>
      </c>
      <c r="B4" s="20" t="s">
        <v>16</v>
      </c>
      <c r="C4" s="21" t="s">
        <v>23</v>
      </c>
      <c r="D4" s="22" t="s">
        <v>24</v>
      </c>
      <c r="E4" s="13" t="s">
        <v>19</v>
      </c>
      <c r="F4" s="23">
        <v>6</v>
      </c>
      <c r="G4" s="24"/>
      <c r="H4" s="25">
        <v>3</v>
      </c>
      <c r="I4" s="26">
        <v>6</v>
      </c>
      <c r="J4" s="27"/>
      <c r="K4" s="72" t="s">
        <v>25</v>
      </c>
      <c r="L4" s="73"/>
      <c r="Q4" s="104" t="s">
        <v>26</v>
      </c>
      <c r="R4" s="105" t="s">
        <v>194</v>
      </c>
      <c r="S4" s="106" t="s">
        <v>195</v>
      </c>
    </row>
    <row r="5" spans="1:19" ht="23.1" customHeight="1">
      <c r="A5" s="19">
        <v>3</v>
      </c>
      <c r="B5" s="20" t="s">
        <v>16</v>
      </c>
      <c r="C5" s="21" t="s">
        <v>27</v>
      </c>
      <c r="D5" s="22" t="s">
        <v>28</v>
      </c>
      <c r="E5" s="13" t="s">
        <v>19</v>
      </c>
      <c r="F5" s="23">
        <v>8</v>
      </c>
      <c r="G5" s="24"/>
      <c r="H5" s="25">
        <v>9</v>
      </c>
      <c r="I5" s="26">
        <v>8</v>
      </c>
      <c r="J5" s="27"/>
      <c r="K5" s="72"/>
      <c r="L5" s="73"/>
      <c r="Q5" s="107" t="s">
        <v>29</v>
      </c>
      <c r="R5" s="108" t="s">
        <v>30</v>
      </c>
      <c r="S5" s="109" t="s">
        <v>196</v>
      </c>
    </row>
    <row r="6" spans="1:19" ht="23.1" customHeight="1">
      <c r="A6" s="19">
        <v>4</v>
      </c>
      <c r="B6" s="20" t="s">
        <v>16</v>
      </c>
      <c r="C6" s="21" t="s">
        <v>31</v>
      </c>
      <c r="D6" s="22" t="s">
        <v>32</v>
      </c>
      <c r="E6" s="13" t="s">
        <v>19</v>
      </c>
      <c r="F6" s="23">
        <v>1</v>
      </c>
      <c r="G6" s="24"/>
      <c r="H6" s="25">
        <v>17</v>
      </c>
      <c r="I6" s="26">
        <v>1</v>
      </c>
      <c r="J6" s="27"/>
      <c r="K6" s="72"/>
      <c r="L6" s="73"/>
      <c r="N6" s="28" t="s">
        <v>33</v>
      </c>
      <c r="O6" s="29" t="s">
        <v>34</v>
      </c>
      <c r="P6" s="100"/>
      <c r="Q6" s="107" t="s">
        <v>35</v>
      </c>
      <c r="R6" s="108" t="s">
        <v>36</v>
      </c>
      <c r="S6" s="109" t="s">
        <v>197</v>
      </c>
    </row>
    <row r="7" spans="1:19" ht="23.1" customHeight="1">
      <c r="A7" s="19">
        <v>5</v>
      </c>
      <c r="B7" s="20" t="s">
        <v>16</v>
      </c>
      <c r="C7" s="21" t="s">
        <v>37</v>
      </c>
      <c r="D7" s="22" t="s">
        <v>38</v>
      </c>
      <c r="E7" s="13" t="s">
        <v>19</v>
      </c>
      <c r="F7" s="23">
        <v>3</v>
      </c>
      <c r="G7" s="24"/>
      <c r="H7" s="25">
        <v>18</v>
      </c>
      <c r="I7" s="26">
        <v>3</v>
      </c>
      <c r="J7" s="27"/>
      <c r="K7" s="72"/>
      <c r="L7" s="73"/>
      <c r="N7" s="30" t="s">
        <v>39</v>
      </c>
      <c r="O7" s="31" t="s">
        <v>40</v>
      </c>
      <c r="P7" s="101" t="s">
        <v>41</v>
      </c>
      <c r="Q7" s="103" t="s">
        <v>192</v>
      </c>
      <c r="R7" s="103" t="s">
        <v>22</v>
      </c>
      <c r="S7" s="103" t="s">
        <v>198</v>
      </c>
    </row>
    <row r="8" spans="1:19" ht="23.1" customHeight="1">
      <c r="A8" s="19">
        <v>6</v>
      </c>
      <c r="B8" s="20" t="s">
        <v>16</v>
      </c>
      <c r="C8" s="21" t="s">
        <v>42</v>
      </c>
      <c r="D8" s="12" t="s">
        <v>43</v>
      </c>
      <c r="E8" s="13" t="s">
        <v>19</v>
      </c>
      <c r="F8" s="23">
        <v>8</v>
      </c>
      <c r="G8" s="15"/>
      <c r="H8" s="25">
        <v>21</v>
      </c>
      <c r="I8" s="17">
        <v>8</v>
      </c>
      <c r="J8" s="18"/>
      <c r="K8" s="72"/>
      <c r="L8" s="73"/>
      <c r="N8" s="30" t="s">
        <v>44</v>
      </c>
      <c r="O8" s="32" t="s">
        <v>13</v>
      </c>
      <c r="P8" s="100"/>
      <c r="Q8" s="107" t="s">
        <v>45</v>
      </c>
      <c r="R8" s="108" t="s">
        <v>30</v>
      </c>
      <c r="S8" s="109" t="s">
        <v>199</v>
      </c>
    </row>
    <row r="9" spans="1:19" ht="23.1" customHeight="1">
      <c r="A9" s="19">
        <v>7</v>
      </c>
      <c r="B9" s="20" t="s">
        <v>16</v>
      </c>
      <c r="C9" s="21" t="s">
        <v>46</v>
      </c>
      <c r="D9" s="22" t="s">
        <v>47</v>
      </c>
      <c r="E9" s="13" t="s">
        <v>19</v>
      </c>
      <c r="F9" s="23">
        <v>1</v>
      </c>
      <c r="G9" s="24"/>
      <c r="H9" s="25">
        <v>29</v>
      </c>
      <c r="I9" s="26">
        <v>1</v>
      </c>
      <c r="J9" s="27"/>
      <c r="K9" s="72"/>
      <c r="L9" s="73"/>
      <c r="Q9" s="107" t="s">
        <v>48</v>
      </c>
      <c r="R9" s="108" t="s">
        <v>36</v>
      </c>
      <c r="S9" s="109" t="s">
        <v>200</v>
      </c>
    </row>
    <row r="10" spans="1:19" ht="23.1" customHeight="1">
      <c r="A10" s="19">
        <v>8</v>
      </c>
      <c r="B10" s="20" t="s">
        <v>16</v>
      </c>
      <c r="C10" s="21" t="s">
        <v>49</v>
      </c>
      <c r="D10" s="22" t="s">
        <v>50</v>
      </c>
      <c r="E10" s="13" t="s">
        <v>19</v>
      </c>
      <c r="F10" s="23">
        <v>2</v>
      </c>
      <c r="G10" s="24"/>
      <c r="H10" s="25">
        <v>30</v>
      </c>
      <c r="I10" s="26">
        <v>2</v>
      </c>
      <c r="J10" s="27"/>
      <c r="K10" s="72"/>
      <c r="L10" s="73"/>
      <c r="Q10" s="107" t="s">
        <v>51</v>
      </c>
      <c r="R10" s="108" t="s">
        <v>36</v>
      </c>
      <c r="S10" s="109" t="s">
        <v>201</v>
      </c>
    </row>
    <row r="11" spans="1:19" ht="23.1" customHeight="1">
      <c r="A11" s="19">
        <v>9</v>
      </c>
      <c r="B11" s="20" t="s">
        <v>16</v>
      </c>
      <c r="C11" s="21" t="s">
        <v>52</v>
      </c>
      <c r="D11" s="22" t="s">
        <v>53</v>
      </c>
      <c r="E11" s="13" t="s">
        <v>19</v>
      </c>
      <c r="F11" s="23">
        <v>6</v>
      </c>
      <c r="G11" s="24"/>
      <c r="H11" s="25">
        <v>32</v>
      </c>
      <c r="I11" s="26">
        <v>6</v>
      </c>
      <c r="J11" s="27"/>
      <c r="K11" s="72"/>
      <c r="L11" s="73"/>
      <c r="Q11" s="107" t="s">
        <v>54</v>
      </c>
      <c r="R11" s="108" t="s">
        <v>36</v>
      </c>
      <c r="S11" s="109" t="s">
        <v>202</v>
      </c>
    </row>
    <row r="12" spans="1:19" ht="23.1" customHeight="1">
      <c r="A12" s="19" t="s">
        <v>55</v>
      </c>
      <c r="B12" s="20" t="s">
        <v>16</v>
      </c>
      <c r="C12" s="21" t="s">
        <v>56</v>
      </c>
      <c r="D12" s="22" t="s">
        <v>57</v>
      </c>
      <c r="E12" s="13" t="s">
        <v>19</v>
      </c>
      <c r="F12" s="23">
        <v>7</v>
      </c>
      <c r="G12" s="24"/>
      <c r="H12" s="25">
        <v>38</v>
      </c>
      <c r="I12" s="26">
        <v>7</v>
      </c>
      <c r="J12" s="27"/>
      <c r="K12" s="86" t="s">
        <v>58</v>
      </c>
      <c r="L12" s="73"/>
      <c r="Q12" s="107" t="s">
        <v>59</v>
      </c>
      <c r="R12" s="108" t="s">
        <v>36</v>
      </c>
      <c r="S12" s="109" t="s">
        <v>203</v>
      </c>
    </row>
    <row r="13" spans="1:19" ht="23.1" customHeight="1">
      <c r="A13" s="19" t="s">
        <v>60</v>
      </c>
      <c r="B13" s="20" t="s">
        <v>16</v>
      </c>
      <c r="C13" s="21" t="s">
        <v>61</v>
      </c>
      <c r="D13" s="22" t="s">
        <v>62</v>
      </c>
      <c r="E13" s="13" t="s">
        <v>19</v>
      </c>
      <c r="F13" s="23">
        <v>3</v>
      </c>
      <c r="G13" s="24"/>
      <c r="H13" s="25">
        <v>45</v>
      </c>
      <c r="I13" s="33">
        <v>3</v>
      </c>
      <c r="J13" s="27"/>
      <c r="K13" s="86" t="s">
        <v>63</v>
      </c>
      <c r="L13" s="73"/>
      <c r="N13" s="34"/>
      <c r="Q13" s="107" t="s">
        <v>204</v>
      </c>
      <c r="R13" s="108" t="s">
        <v>205</v>
      </c>
      <c r="S13" s="109" t="s">
        <v>206</v>
      </c>
    </row>
    <row r="14" spans="1:19" ht="23.1" customHeight="1">
      <c r="A14" s="19" t="s">
        <v>64</v>
      </c>
      <c r="B14" s="20" t="s">
        <v>16</v>
      </c>
      <c r="C14" s="21" t="s">
        <v>65</v>
      </c>
      <c r="D14" s="22" t="s">
        <v>66</v>
      </c>
      <c r="E14" s="13" t="s">
        <v>19</v>
      </c>
      <c r="F14" s="23">
        <v>10</v>
      </c>
      <c r="G14" s="24"/>
      <c r="H14" s="25">
        <v>48</v>
      </c>
      <c r="I14" s="33">
        <v>10</v>
      </c>
      <c r="J14" s="27"/>
      <c r="K14" s="72"/>
      <c r="L14" s="73"/>
      <c r="Q14" s="104" t="s">
        <v>67</v>
      </c>
      <c r="R14" s="105" t="s">
        <v>68</v>
      </c>
      <c r="S14" s="106" t="s">
        <v>207</v>
      </c>
    </row>
    <row r="15" spans="1:19" ht="23.1" customHeight="1">
      <c r="A15" s="19" t="s">
        <v>69</v>
      </c>
      <c r="B15" s="20" t="s">
        <v>16</v>
      </c>
      <c r="C15" s="21" t="s">
        <v>70</v>
      </c>
      <c r="D15" s="22" t="s">
        <v>71</v>
      </c>
      <c r="E15" s="13" t="s">
        <v>19</v>
      </c>
      <c r="F15" s="23">
        <v>20</v>
      </c>
      <c r="G15" s="24"/>
      <c r="H15" s="25">
        <v>58</v>
      </c>
      <c r="I15" s="33">
        <v>20</v>
      </c>
      <c r="J15" s="27"/>
      <c r="K15" s="72"/>
      <c r="L15" s="73"/>
      <c r="Q15" s="107" t="s">
        <v>72</v>
      </c>
      <c r="R15" s="108" t="s">
        <v>36</v>
      </c>
      <c r="S15" s="109" t="s">
        <v>208</v>
      </c>
    </row>
    <row r="16" spans="1:19" ht="23.1" customHeight="1">
      <c r="A16" s="19" t="s">
        <v>73</v>
      </c>
      <c r="B16" s="20" t="s">
        <v>16</v>
      </c>
      <c r="C16" s="21" t="s">
        <v>74</v>
      </c>
      <c r="D16" s="22" t="s">
        <v>75</v>
      </c>
      <c r="E16" s="13" t="s">
        <v>19</v>
      </c>
      <c r="F16" s="23">
        <v>10</v>
      </c>
      <c r="G16" s="24"/>
      <c r="H16" s="25">
        <v>78</v>
      </c>
      <c r="I16" s="33">
        <v>10</v>
      </c>
      <c r="J16" s="27"/>
      <c r="K16" s="72" t="s">
        <v>76</v>
      </c>
      <c r="L16" s="73"/>
      <c r="Q16" s="104" t="s">
        <v>209</v>
      </c>
      <c r="R16" s="105" t="s">
        <v>205</v>
      </c>
      <c r="S16" s="106" t="s">
        <v>210</v>
      </c>
    </row>
    <row r="17" spans="1:19" ht="23.1" customHeight="1">
      <c r="A17" s="19" t="s">
        <v>77</v>
      </c>
      <c r="B17" s="20" t="s">
        <v>16</v>
      </c>
      <c r="C17" s="21" t="s">
        <v>78</v>
      </c>
      <c r="D17" s="12" t="s">
        <v>79</v>
      </c>
      <c r="E17" s="13" t="s">
        <v>19</v>
      </c>
      <c r="F17" s="23">
        <v>5</v>
      </c>
      <c r="G17" s="24"/>
      <c r="H17" s="25">
        <v>88</v>
      </c>
      <c r="I17" s="33">
        <v>5</v>
      </c>
      <c r="J17" s="27"/>
      <c r="K17" s="72"/>
      <c r="L17" s="73"/>
      <c r="Q17" s="107" t="s">
        <v>204</v>
      </c>
      <c r="R17" s="108" t="s">
        <v>211</v>
      </c>
      <c r="S17" s="109" t="s">
        <v>212</v>
      </c>
    </row>
    <row r="18" spans="1:19" ht="23.1" customHeight="1">
      <c r="A18" s="19" t="s">
        <v>80</v>
      </c>
      <c r="B18" s="20" t="s">
        <v>16</v>
      </c>
      <c r="C18" s="21" t="s">
        <v>81</v>
      </c>
      <c r="D18" s="12" t="s">
        <v>82</v>
      </c>
      <c r="E18" s="13" t="s">
        <v>19</v>
      </c>
      <c r="F18" s="23">
        <v>5</v>
      </c>
      <c r="G18" s="24"/>
      <c r="H18" s="25">
        <v>93</v>
      </c>
      <c r="I18" s="33">
        <v>5</v>
      </c>
      <c r="J18" s="27"/>
      <c r="K18" s="72"/>
      <c r="L18" s="73"/>
      <c r="Q18" s="107" t="s">
        <v>213</v>
      </c>
      <c r="R18" s="108" t="s">
        <v>205</v>
      </c>
      <c r="S18" s="109" t="s">
        <v>214</v>
      </c>
    </row>
    <row r="19" spans="1:19" ht="23.1" customHeight="1">
      <c r="A19" s="19" t="s">
        <v>83</v>
      </c>
      <c r="B19" s="20" t="s">
        <v>16</v>
      </c>
      <c r="C19" s="21" t="s">
        <v>84</v>
      </c>
      <c r="D19" s="12" t="s">
        <v>85</v>
      </c>
      <c r="E19" s="13" t="s">
        <v>19</v>
      </c>
      <c r="F19" s="23">
        <v>3</v>
      </c>
      <c r="G19" s="24"/>
      <c r="H19" s="25">
        <v>98</v>
      </c>
      <c r="I19" s="33">
        <v>3</v>
      </c>
      <c r="J19" s="27"/>
      <c r="K19" s="72"/>
      <c r="L19" s="73"/>
      <c r="Q19" s="104" t="s">
        <v>215</v>
      </c>
      <c r="R19" s="105" t="s">
        <v>205</v>
      </c>
      <c r="S19" s="106" t="s">
        <v>216</v>
      </c>
    </row>
    <row r="20" spans="1:19" ht="23.1" customHeight="1">
      <c r="A20" s="19" t="s">
        <v>86</v>
      </c>
      <c r="B20" s="20" t="s">
        <v>16</v>
      </c>
      <c r="C20" s="21" t="s">
        <v>87</v>
      </c>
      <c r="D20" s="12" t="s">
        <v>88</v>
      </c>
      <c r="E20" s="13" t="s">
        <v>19</v>
      </c>
      <c r="F20" s="23">
        <v>8</v>
      </c>
      <c r="G20" s="24"/>
      <c r="H20" s="25">
        <v>101</v>
      </c>
      <c r="I20" s="33">
        <v>8</v>
      </c>
      <c r="J20" s="27"/>
      <c r="K20" s="72" t="s">
        <v>89</v>
      </c>
      <c r="L20" s="73"/>
      <c r="Q20" s="103" t="s">
        <v>192</v>
      </c>
      <c r="R20" s="103" t="s">
        <v>22</v>
      </c>
      <c r="S20" s="103" t="s">
        <v>198</v>
      </c>
    </row>
    <row r="21" spans="1:19" ht="23.1" customHeight="1">
      <c r="A21" s="19" t="s">
        <v>90</v>
      </c>
      <c r="B21" s="20" t="s">
        <v>16</v>
      </c>
      <c r="C21" s="21" t="s">
        <v>91</v>
      </c>
      <c r="D21" s="12" t="s">
        <v>92</v>
      </c>
      <c r="E21" s="13" t="s">
        <v>19</v>
      </c>
      <c r="F21" s="23">
        <v>3</v>
      </c>
      <c r="G21" s="24"/>
      <c r="H21" s="25">
        <v>109</v>
      </c>
      <c r="I21" s="33">
        <v>3</v>
      </c>
      <c r="J21" s="27"/>
      <c r="K21" s="72" t="s">
        <v>63</v>
      </c>
      <c r="L21" s="73"/>
      <c r="Q21" s="107" t="s">
        <v>217</v>
      </c>
      <c r="R21" s="108" t="s">
        <v>205</v>
      </c>
      <c r="S21" s="109" t="s">
        <v>218</v>
      </c>
    </row>
    <row r="22" spans="1:19" ht="23.1" customHeight="1">
      <c r="A22" s="19" t="s">
        <v>93</v>
      </c>
      <c r="B22" s="20" t="s">
        <v>16</v>
      </c>
      <c r="C22" s="21" t="s">
        <v>94</v>
      </c>
      <c r="D22" s="12" t="s">
        <v>95</v>
      </c>
      <c r="E22" s="13" t="s">
        <v>19</v>
      </c>
      <c r="F22" s="23">
        <v>5</v>
      </c>
      <c r="G22" s="24"/>
      <c r="H22" s="25">
        <v>112</v>
      </c>
      <c r="I22" s="33">
        <v>5</v>
      </c>
      <c r="J22" s="27"/>
      <c r="K22" s="72"/>
      <c r="L22" s="73"/>
      <c r="Q22" s="104" t="s">
        <v>219</v>
      </c>
      <c r="R22" s="105" t="s">
        <v>220</v>
      </c>
      <c r="S22" s="106" t="s">
        <v>221</v>
      </c>
    </row>
    <row r="23" spans="1:19" ht="23.1" customHeight="1">
      <c r="A23" s="19" t="s">
        <v>96</v>
      </c>
      <c r="B23" s="20" t="s">
        <v>16</v>
      </c>
      <c r="C23" s="21" t="s">
        <v>97</v>
      </c>
      <c r="D23" s="12" t="s">
        <v>98</v>
      </c>
      <c r="E23" s="13" t="s">
        <v>19</v>
      </c>
      <c r="F23" s="23">
        <v>9</v>
      </c>
      <c r="G23" s="24"/>
      <c r="H23" s="25">
        <v>117</v>
      </c>
      <c r="I23" s="33">
        <v>9</v>
      </c>
      <c r="J23" s="27"/>
      <c r="K23" s="72" t="s">
        <v>99</v>
      </c>
      <c r="L23" s="73"/>
      <c r="Q23" s="104" t="s">
        <v>229</v>
      </c>
      <c r="R23" s="105" t="s">
        <v>222</v>
      </c>
      <c r="S23" s="106" t="s">
        <v>228</v>
      </c>
    </row>
    <row r="24" spans="1:19" ht="23.1" customHeight="1">
      <c r="A24" s="19" t="s">
        <v>100</v>
      </c>
      <c r="B24" s="35" t="s">
        <v>16</v>
      </c>
      <c r="C24" s="36" t="s">
        <v>101</v>
      </c>
      <c r="D24" s="37" t="s">
        <v>102</v>
      </c>
      <c r="E24" s="38" t="s">
        <v>19</v>
      </c>
      <c r="F24" s="39">
        <v>3</v>
      </c>
      <c r="G24" s="40"/>
      <c r="H24" s="41">
        <v>126</v>
      </c>
      <c r="I24" s="42">
        <v>3</v>
      </c>
      <c r="J24" s="27"/>
      <c r="K24" s="74" t="s">
        <v>103</v>
      </c>
      <c r="L24" s="73"/>
      <c r="Q24" s="107" t="s">
        <v>67</v>
      </c>
      <c r="R24" s="108" t="s">
        <v>223</v>
      </c>
      <c r="S24" s="109" t="s">
        <v>224</v>
      </c>
    </row>
    <row r="25" spans="1:19" ht="23.1" customHeight="1">
      <c r="A25" s="19" t="s">
        <v>104</v>
      </c>
      <c r="B25" s="35" t="s">
        <v>16</v>
      </c>
      <c r="C25" s="36" t="s">
        <v>105</v>
      </c>
      <c r="D25" s="37" t="s">
        <v>106</v>
      </c>
      <c r="E25" s="38" t="s">
        <v>19</v>
      </c>
      <c r="F25" s="39">
        <v>20</v>
      </c>
      <c r="G25" s="24"/>
      <c r="H25" s="41">
        <v>129</v>
      </c>
      <c r="I25" s="42">
        <v>20</v>
      </c>
      <c r="J25" s="27"/>
      <c r="K25" s="74" t="s">
        <v>103</v>
      </c>
      <c r="L25" s="73"/>
      <c r="Q25" s="107" t="s">
        <v>225</v>
      </c>
      <c r="R25" s="108" t="s">
        <v>205</v>
      </c>
      <c r="S25" s="109" t="s">
        <v>226</v>
      </c>
    </row>
    <row r="26" spans="1:19" ht="23.1" customHeight="1">
      <c r="A26" s="19" t="s">
        <v>107</v>
      </c>
      <c r="B26" s="20" t="s">
        <v>16</v>
      </c>
      <c r="C26" s="21" t="s">
        <v>108</v>
      </c>
      <c r="D26" s="22" t="s">
        <v>109</v>
      </c>
      <c r="E26" s="38" t="s">
        <v>19</v>
      </c>
      <c r="F26" s="39">
        <v>2</v>
      </c>
      <c r="G26" s="24"/>
      <c r="H26" s="41">
        <v>149</v>
      </c>
      <c r="I26" s="42">
        <v>2</v>
      </c>
      <c r="J26" s="27"/>
      <c r="K26" s="78" t="s">
        <v>110</v>
      </c>
      <c r="L26" s="73"/>
      <c r="Q26" s="103" t="s">
        <v>227</v>
      </c>
      <c r="R26" s="103" t="s">
        <v>22</v>
      </c>
      <c r="S26" s="103" t="s">
        <v>111</v>
      </c>
    </row>
    <row r="27" spans="1:19" ht="23.1" customHeight="1">
      <c r="A27" s="19" t="s">
        <v>112</v>
      </c>
      <c r="B27" s="20"/>
      <c r="C27" s="21"/>
      <c r="D27" s="22"/>
      <c r="E27" s="13"/>
      <c r="F27" s="23"/>
      <c r="G27" s="24"/>
      <c r="H27" s="25" t="str">
        <f t="shared" ref="H27:H32" si="0">IF(C27="","",IF(J26=0,SUM(H26,I26),SUM(H26,I26*J26)))</f>
        <v/>
      </c>
      <c r="I27" s="33">
        <f t="shared" ref="I27:I32" si="1">IF(OR($E27="",$C27=""),0,IF($E27="C",$F27,IF($E27="G",$F27*2,IF($E27="P",TRUNC(($F27+$G27+2)/2),IF($E27="U",$F27+$G27,"Error")))))</f>
        <v>0</v>
      </c>
      <c r="J27" s="27"/>
      <c r="K27" s="72"/>
      <c r="L27" s="73"/>
    </row>
    <row r="28" spans="1:19" ht="23.1" customHeight="1">
      <c r="A28" s="19" t="s">
        <v>113</v>
      </c>
      <c r="B28" s="20"/>
      <c r="C28" s="21"/>
      <c r="D28" s="22"/>
      <c r="E28" s="13"/>
      <c r="F28" s="23"/>
      <c r="G28" s="24"/>
      <c r="H28" s="25" t="str">
        <f t="shared" si="0"/>
        <v/>
      </c>
      <c r="I28" s="33">
        <f t="shared" si="1"/>
        <v>0</v>
      </c>
      <c r="J28" s="27"/>
      <c r="K28" s="72"/>
      <c r="L28" s="73"/>
    </row>
    <row r="29" spans="1:19" ht="23.1" customHeight="1">
      <c r="A29" s="19" t="s">
        <v>114</v>
      </c>
      <c r="B29" s="20"/>
      <c r="C29" s="21"/>
      <c r="D29" s="22"/>
      <c r="E29" s="20"/>
      <c r="F29" s="23"/>
      <c r="G29" s="24"/>
      <c r="H29" s="25" t="str">
        <f t="shared" si="0"/>
        <v/>
      </c>
      <c r="I29" s="33">
        <f t="shared" si="1"/>
        <v>0</v>
      </c>
      <c r="J29" s="27"/>
      <c r="K29" s="72"/>
      <c r="L29" s="73"/>
    </row>
    <row r="30" spans="1:19" ht="23.1" customHeight="1">
      <c r="A30" s="19" t="s">
        <v>115</v>
      </c>
      <c r="B30" s="20"/>
      <c r="C30" s="21"/>
      <c r="D30" s="22"/>
      <c r="E30" s="20"/>
      <c r="F30" s="23"/>
      <c r="G30" s="24"/>
      <c r="H30" s="25" t="str">
        <f t="shared" si="0"/>
        <v/>
      </c>
      <c r="I30" s="33">
        <f t="shared" si="1"/>
        <v>0</v>
      </c>
      <c r="J30" s="27"/>
      <c r="K30" s="72"/>
      <c r="L30" s="73"/>
    </row>
    <row r="31" spans="1:19" ht="23.1" customHeight="1">
      <c r="A31" s="19" t="s">
        <v>116</v>
      </c>
      <c r="B31" s="20"/>
      <c r="C31" s="21"/>
      <c r="D31" s="22"/>
      <c r="E31" s="20"/>
      <c r="F31" s="23"/>
      <c r="G31" s="24"/>
      <c r="H31" s="25" t="str">
        <f t="shared" si="0"/>
        <v/>
      </c>
      <c r="I31" s="33">
        <f t="shared" si="1"/>
        <v>0</v>
      </c>
      <c r="J31" s="27"/>
      <c r="K31" s="72"/>
      <c r="L31" s="73"/>
    </row>
    <row r="32" spans="1:19" ht="23.1" customHeight="1">
      <c r="A32" s="43" t="s">
        <v>117</v>
      </c>
      <c r="B32" s="44"/>
      <c r="C32" s="45"/>
      <c r="D32" s="46"/>
      <c r="E32" s="44"/>
      <c r="F32" s="47"/>
      <c r="G32" s="48"/>
      <c r="H32" s="25" t="str">
        <f t="shared" si="0"/>
        <v/>
      </c>
      <c r="I32" s="33">
        <f t="shared" si="1"/>
        <v>0</v>
      </c>
      <c r="J32" s="49"/>
      <c r="K32" s="81"/>
      <c r="L32" s="82"/>
    </row>
    <row r="33" spans="1:12" ht="23.1" customHeight="1">
      <c r="A33" s="50"/>
      <c r="B33" s="50"/>
      <c r="C33" s="50"/>
      <c r="D33" s="50"/>
      <c r="E33" s="51"/>
      <c r="F33" s="51"/>
      <c r="G33" s="52"/>
      <c r="H33" s="53" t="s">
        <v>118</v>
      </c>
      <c r="I33" s="54">
        <v>150</v>
      </c>
      <c r="J33" s="55" t="s">
        <v>119</v>
      </c>
      <c r="K33" s="56">
        <v>1</v>
      </c>
      <c r="L33" s="57" t="s">
        <v>120</v>
      </c>
    </row>
    <row r="34" spans="1:12" ht="1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</row>
    <row r="35" spans="1:12" ht="23.1" customHeight="1">
      <c r="A35" s="91" t="s">
        <v>121</v>
      </c>
      <c r="B35" s="92"/>
      <c r="C35" s="59" t="s">
        <v>40</v>
      </c>
      <c r="D35" s="60" t="s">
        <v>122</v>
      </c>
      <c r="E35" s="96" t="s">
        <v>123</v>
      </c>
      <c r="F35" s="97"/>
      <c r="G35" s="92"/>
      <c r="H35" s="61" t="s">
        <v>124</v>
      </c>
      <c r="I35" s="93" t="s">
        <v>125</v>
      </c>
      <c r="J35" s="92"/>
      <c r="K35" s="61" t="s">
        <v>126</v>
      </c>
      <c r="L35" s="62" t="s">
        <v>127</v>
      </c>
    </row>
    <row r="36" spans="1:12" ht="23.1" customHeight="1">
      <c r="A36" s="75" t="s">
        <v>128</v>
      </c>
      <c r="B36" s="76"/>
      <c r="C36" s="63" t="s">
        <v>129</v>
      </c>
      <c r="D36" s="64" t="s">
        <v>130</v>
      </c>
      <c r="E36" s="79" t="s">
        <v>131</v>
      </c>
      <c r="F36" s="80"/>
      <c r="G36" s="76"/>
      <c r="H36" s="65" t="s">
        <v>132</v>
      </c>
      <c r="I36" s="77" t="s">
        <v>125</v>
      </c>
      <c r="J36" s="76"/>
      <c r="K36" s="65" t="s">
        <v>133</v>
      </c>
      <c r="L36" s="66" t="s">
        <v>134</v>
      </c>
    </row>
    <row r="37" spans="1:12" ht="23.1" customHeight="1">
      <c r="A37" s="83" t="s">
        <v>135</v>
      </c>
      <c r="B37" s="84"/>
      <c r="C37" s="67" t="s">
        <v>136</v>
      </c>
      <c r="D37" s="68" t="s">
        <v>137</v>
      </c>
      <c r="E37" s="89" t="s">
        <v>138</v>
      </c>
      <c r="F37" s="90"/>
      <c r="G37" s="84"/>
      <c r="H37" s="69" t="s">
        <v>132</v>
      </c>
      <c r="I37" s="85" t="s">
        <v>139</v>
      </c>
      <c r="J37" s="84"/>
      <c r="K37" s="69" t="s">
        <v>133</v>
      </c>
      <c r="L37" s="70" t="s">
        <v>140</v>
      </c>
    </row>
  </sheetData>
  <mergeCells count="41">
    <mergeCell ref="A1:L1"/>
    <mergeCell ref="K10:L10"/>
    <mergeCell ref="K28:L28"/>
    <mergeCell ref="K19:L19"/>
    <mergeCell ref="E35:G35"/>
    <mergeCell ref="K4:L4"/>
    <mergeCell ref="K13:L13"/>
    <mergeCell ref="K18:L18"/>
    <mergeCell ref="K3:L3"/>
    <mergeCell ref="K2:L2"/>
    <mergeCell ref="E37:G37"/>
    <mergeCell ref="K6:L6"/>
    <mergeCell ref="K27:L27"/>
    <mergeCell ref="K23:L23"/>
    <mergeCell ref="K14:L14"/>
    <mergeCell ref="K17:L17"/>
    <mergeCell ref="K7:L7"/>
    <mergeCell ref="I35:J35"/>
    <mergeCell ref="A37:B37"/>
    <mergeCell ref="I37:J37"/>
    <mergeCell ref="K31:L31"/>
    <mergeCell ref="K22:L22"/>
    <mergeCell ref="K12:L12"/>
    <mergeCell ref="A35:B35"/>
    <mergeCell ref="K9:L9"/>
    <mergeCell ref="K5:L5"/>
    <mergeCell ref="A36:B36"/>
    <mergeCell ref="I36:J36"/>
    <mergeCell ref="K26:L26"/>
    <mergeCell ref="K21:L21"/>
    <mergeCell ref="K29:L29"/>
    <mergeCell ref="K11:L11"/>
    <mergeCell ref="K20:L20"/>
    <mergeCell ref="E36:G36"/>
    <mergeCell ref="K32:L32"/>
    <mergeCell ref="K8:L8"/>
    <mergeCell ref="K16:L16"/>
    <mergeCell ref="K30:L30"/>
    <mergeCell ref="K25:L25"/>
    <mergeCell ref="K24:L24"/>
    <mergeCell ref="K15:L15"/>
  </mergeCells>
  <phoneticPr fontId="13" type="noConversion"/>
  <dataValidations count="22">
    <dataValidation type="list" allowBlank="1" showErrorMessage="1" sqref="O8" xr:uid="{00000000-0002-0000-0000-000000000000}">
      <formula1>$O$2:$O$3</formula1>
      <formula2>0</formula2>
    </dataValidation>
    <dataValidation type="list" allowBlank="1" showErrorMessage="1" sqref="E3:E28" xr:uid="{00000000-0002-0000-0000-000001000000}">
      <formula1>"C,G,P,U,B"</formula1>
      <formula2>0</formula2>
    </dataValidation>
    <dataValidation type="list" allowBlank="1" sqref="Q3 Q20 Q7" xr:uid="{00000000-0002-0000-0000-000002000000}">
      <formula1>"（无历史映射 — 可能为接口内部字段）,（手动指定）"</formula1>
    </dataValidation>
    <dataValidation type="list" allowBlank="1" sqref="Q4" xr:uid="{00000000-0002-0000-0000-000003000000}">
      <formula1>"LIKP.WADAT（計画在庫移動日付）,LIKP.WADAT_IST（実在庫移動日付）,EKET.EINDT（明細納入期日）,（手动指定）"</formula1>
    </dataValidation>
    <dataValidation type="list" allowBlank="1" sqref="Q5" xr:uid="{00000000-0002-0000-0000-000004000000}">
      <formula1>"LIKP.VBELN（出荷伝票）,EKKO.EBELN（購買伝票）,（手动指定）"</formula1>
    </dataValidation>
    <dataValidation type="list" allowBlank="1" sqref="Q6" xr:uid="{00000000-0002-0000-0000-000005000000}">
      <formula1>"LIPS.POSNR（出荷明細）,（手动指定）"</formula1>
    </dataValidation>
    <dataValidation type="list" allowBlank="1" sqref="Q8" xr:uid="{00000000-0002-0000-0000-000007000000}">
      <formula1>"VBAK.VBELN（販売伝票）,LIKP.VGBEL（参照伝票）,（手动指定）"</formula1>
    </dataValidation>
    <dataValidation type="list" allowBlank="1" sqref="Q9" xr:uid="{00000000-0002-0000-0000-000008000000}">
      <formula1>"VBAP.POSNR（販売伝票明細）,（手动指定）"</formula1>
    </dataValidation>
    <dataValidation type="list" allowBlank="1" sqref="Q10" xr:uid="{00000000-0002-0000-0000-000009000000}">
      <formula1>"VBKD.VSART（出荷タイプ）,（手动指定）"</formula1>
    </dataValidation>
    <dataValidation type="list" allowBlank="1" sqref="Q11" xr:uid="{00000000-0002-0000-0000-00000A000000}">
      <formula1>"LIPS.AESKD（得意先設計変更ステータス）,（手动指定）"</formula1>
    </dataValidation>
    <dataValidation type="list" allowBlank="1" sqref="Q12" xr:uid="{00000000-0002-0000-0000-00000B000000}">
      <formula1>"LIPS.NTGEW+BRGEW（正味重量+総重量）,（手动指定）"</formula1>
    </dataValidation>
    <dataValidation type="list" allowBlank="1" sqref="Q13" xr:uid="{00000000-0002-0000-0000-00000C000000}">
      <formula1>"[AI推测] LIPS.LFIMG（出荷数量）,[AI推测] VBAP.KWMENG（累積受注数量）,[AI推测] LIPS.ANZSN（荷姿数/梱包数）,（手动指定）"</formula1>
    </dataValidation>
    <dataValidation type="list" allowBlank="1" sqref="Q14" xr:uid="{00000000-0002-0000-0000-00000D000000}">
      <formula1>"VBAP.MATNR（品目コード）,VBRP.MATNR（品目コード）,EBAN.MATNR（品目コード）,（手动指定）"</formula1>
    </dataValidation>
    <dataValidation type="list" allowBlank="1" sqref="Q15" xr:uid="{00000000-0002-0000-0000-00000E000000}">
      <formula1>"MAKT.MAKTX（品目テキスト）,VBAP.ARKTX（受注明細のテキスト (短)）,（手动指定）"</formula1>
    </dataValidation>
    <dataValidation type="list" allowBlank="1" sqref="Q16" xr:uid="{00000000-0002-0000-0000-00000F000000}">
      <formula1>"[AI推测] VEKP.EXIDV（外部ハンドリングユニット識別番号）,[AI推测] LIPS.AESKD（得意先設計変更ステータス）,[AI推测] VEKP.VENUM（内部ハンドリングユニット番号）,（手动指定）"</formula1>
    </dataValidation>
    <dataValidation type="list" allowBlank="1" sqref="Q17" xr:uid="{00000000-0002-0000-0000-000010000000}">
      <formula1>"[AI推测] LIPS.LFIMG（出荷数量）,[AI推测] VBAP.KWMENG（累積受注数量）,[AI推测] LIPS.UMVKZ（販売単位への換算係数 (分子)）,（手动指定）"</formula1>
    </dataValidation>
    <dataValidation type="list" allowBlank="1" sqref="Q18" xr:uid="{00000000-0002-0000-0000-000011000000}">
      <formula1>"[AI推测] LIPS.LFIMG（出荷数量 (販売単位)）,[AI推测] LIPS.LGMNG（出荷数量 (基本単位)）,[AI推测] VBAP.KWMENG（受注数量 (販売単位)）,（手动指定）"</formula1>
    </dataValidation>
    <dataValidation type="list" allowBlank="1" sqref="Q19" xr:uid="{00000000-0002-0000-0000-000012000000}">
      <formula1>"[AI推测] LIKP.LFART（納品タイプ）,[AI推测] VBAK.AUART（販売伝票タイプ）,[AI推测] VBKD.VSART（出荷タイプ）,（手动指定）"</formula1>
    </dataValidation>
    <dataValidation type="list" allowBlank="1" sqref="Q21" xr:uid="{00000000-0002-0000-0000-000014000000}">
      <formula1>"[AI推测] LIPS.ANZPK（荷役単位数）,[AI推测] VEKP.ANZPA（同一荷役単位数）,[AI推测] LIPS.LFIMG（出荷数量）,（手动指定）"</formula1>
    </dataValidation>
    <dataValidation type="list" allowBlank="1" sqref="Q22" xr:uid="{00000000-0002-0000-0000-000015000000}">
      <formula1>"[AI推测] VEKP.EXIDV（外部ハンドリングユニット識別）,[AI推测] VEKP.VENUM（ハンドリングユニット番号（内部））,[AI推测] VEPO.VENUM（HU 明細のハンドリングユニット番号）,（手动指定）"</formula1>
    </dataValidation>
    <dataValidation type="list" allowBlank="1" sqref="Q24" xr:uid="{00000000-0002-0000-0000-000016000000}">
      <formula1>"VBAP.MATNR（品目コード）,（手动指定）"</formula1>
    </dataValidation>
    <dataValidation type="list" allowBlank="1" sqref="Q25" xr:uid="{00000000-0002-0000-0000-000017000000}">
      <formula1>"[AI推测] VBAP.MATNR（品目コード）,[AI推测] LIPS.MATNR（品目コード）,[AI推测] MARA.MATNR（品目コード）,（手动指定）"</formula1>
    </dataValidation>
  </dataValidations>
  <pageMargins left="0.59027777777777801" right="0.39374999999999999" top="0.39374999999999999" bottom="0.39374999999999999" header="0.39374999999999999" footer="0.511811023622047"/>
  <pageSetup paperSize="9" orientation="portrait" horizontalDpi="300" verticalDpi="300"/>
  <headerFooter>
    <oddHeader>&amp;RCBL-040-530/001/200211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zoomScaleNormal="100" workbookViewId="0">
      <selection activeCell="L16" sqref="L16"/>
    </sheetView>
  </sheetViews>
  <sheetFormatPr defaultColWidth="9" defaultRowHeight="13.5"/>
  <sheetData>
    <row r="1" spans="1:1" ht="13.5" customHeight="1">
      <c r="A1" t="s">
        <v>141</v>
      </c>
    </row>
    <row r="2" spans="1:1" ht="13.5" customHeight="1">
      <c r="A2" s="71" t="s">
        <v>142</v>
      </c>
    </row>
    <row r="3" spans="1:1" ht="13.5" customHeight="1">
      <c r="A3" t="s">
        <v>141</v>
      </c>
    </row>
    <row r="4" spans="1:1" ht="13.5" customHeight="1">
      <c r="A4" t="s">
        <v>143</v>
      </c>
    </row>
    <row r="5" spans="1:1" ht="13.5" customHeight="1">
      <c r="A5" t="s">
        <v>144</v>
      </c>
    </row>
    <row r="6" spans="1:1" ht="13.5" customHeight="1">
      <c r="A6" t="s">
        <v>145</v>
      </c>
    </row>
    <row r="7" spans="1:1" ht="13.5" customHeight="1">
      <c r="A7" t="s">
        <v>146</v>
      </c>
    </row>
    <row r="8" spans="1:1" ht="13.5" customHeight="1">
      <c r="A8" t="s">
        <v>147</v>
      </c>
    </row>
    <row r="9" spans="1:1" ht="13.5" customHeight="1">
      <c r="A9" t="s">
        <v>148</v>
      </c>
    </row>
    <row r="10" spans="1:1" ht="13.5" customHeight="1">
      <c r="A10" t="s">
        <v>149</v>
      </c>
    </row>
    <row r="11" spans="1:1" ht="13.5" customHeight="1">
      <c r="A11" t="s">
        <v>150</v>
      </c>
    </row>
    <row r="12" spans="1:1" ht="13.5" customHeight="1">
      <c r="A12" t="s">
        <v>151</v>
      </c>
    </row>
    <row r="13" spans="1:1" ht="13.5" customHeight="1">
      <c r="A13" t="s">
        <v>152</v>
      </c>
    </row>
    <row r="14" spans="1:1" ht="13.5" customHeight="1">
      <c r="A14" t="s">
        <v>153</v>
      </c>
    </row>
    <row r="15" spans="1:1" ht="13.5" customHeight="1">
      <c r="A15" t="s">
        <v>154</v>
      </c>
    </row>
    <row r="16" spans="1:1" ht="13.5" customHeight="1">
      <c r="A16" t="s">
        <v>155</v>
      </c>
    </row>
    <row r="17" spans="1:1" ht="13.5" customHeight="1">
      <c r="A17" t="s">
        <v>156</v>
      </c>
    </row>
    <row r="18" spans="1:1" ht="13.5" customHeight="1">
      <c r="A18" t="s">
        <v>157</v>
      </c>
    </row>
    <row r="19" spans="1:1" ht="13.5" customHeight="1">
      <c r="A19" t="s">
        <v>158</v>
      </c>
    </row>
    <row r="20" spans="1:1" ht="13.5" customHeight="1">
      <c r="A20" t="s">
        <v>159</v>
      </c>
    </row>
    <row r="21" spans="1:1" ht="13.5" customHeight="1">
      <c r="A21" t="s">
        <v>160</v>
      </c>
    </row>
    <row r="22" spans="1:1" ht="13.5" customHeight="1">
      <c r="A22" t="s">
        <v>161</v>
      </c>
    </row>
    <row r="23" spans="1:1" ht="13.5" customHeight="1">
      <c r="A23" t="s">
        <v>162</v>
      </c>
    </row>
    <row r="24" spans="1:1" ht="13.5" customHeight="1">
      <c r="A24" t="s">
        <v>163</v>
      </c>
    </row>
    <row r="25" spans="1:1" ht="13.5" customHeight="1">
      <c r="A25" t="s">
        <v>164</v>
      </c>
    </row>
    <row r="26" spans="1:1" ht="13.5" customHeight="1">
      <c r="A26" t="s">
        <v>165</v>
      </c>
    </row>
    <row r="27" spans="1:1" ht="13.5" customHeight="1">
      <c r="A27" t="s">
        <v>166</v>
      </c>
    </row>
    <row r="28" spans="1:1" ht="13.5" customHeight="1">
      <c r="A28" t="s">
        <v>167</v>
      </c>
    </row>
    <row r="29" spans="1:1" ht="13.5" customHeight="1">
      <c r="A29" t="s">
        <v>168</v>
      </c>
    </row>
    <row r="30" spans="1:1" ht="13.5" customHeight="1">
      <c r="A30" t="s">
        <v>169</v>
      </c>
    </row>
    <row r="31" spans="1:1" ht="13.5" customHeight="1">
      <c r="A31" t="s">
        <v>170</v>
      </c>
    </row>
    <row r="32" spans="1:1" ht="13.5" customHeight="1">
      <c r="A32" t="s">
        <v>171</v>
      </c>
    </row>
    <row r="33" spans="1:1" ht="13.5" customHeight="1">
      <c r="A33" t="s">
        <v>172</v>
      </c>
    </row>
    <row r="34" spans="1:1" ht="13.5" customHeight="1">
      <c r="A34" t="s">
        <v>173</v>
      </c>
    </row>
    <row r="35" spans="1:1" ht="13.5" customHeight="1">
      <c r="A35" t="s">
        <v>174</v>
      </c>
    </row>
    <row r="36" spans="1:1" ht="13.5" customHeight="1">
      <c r="A36" t="s">
        <v>175</v>
      </c>
    </row>
    <row r="37" spans="1:1" ht="13.5" customHeight="1">
      <c r="A37" t="s">
        <v>176</v>
      </c>
    </row>
    <row r="38" spans="1:1" ht="13.5" customHeight="1">
      <c r="A38" t="s">
        <v>177</v>
      </c>
    </row>
    <row r="39" spans="1:1" ht="13.5" customHeight="1">
      <c r="A39" t="s">
        <v>178</v>
      </c>
    </row>
    <row r="40" spans="1:1" ht="13.5" customHeight="1">
      <c r="A40" t="s">
        <v>179</v>
      </c>
    </row>
    <row r="41" spans="1:1" ht="13.5" customHeight="1">
      <c r="A41" t="s">
        <v>180</v>
      </c>
    </row>
    <row r="42" spans="1:1" ht="13.5" customHeight="1">
      <c r="A42" t="s">
        <v>181</v>
      </c>
    </row>
    <row r="43" spans="1:1" ht="13.5" customHeight="1">
      <c r="A43" t="s">
        <v>182</v>
      </c>
    </row>
    <row r="44" spans="1:1" ht="13.5" customHeight="1">
      <c r="A44" t="s">
        <v>183</v>
      </c>
    </row>
    <row r="45" spans="1:1" ht="13.5" customHeight="1">
      <c r="A45" t="s">
        <v>184</v>
      </c>
    </row>
    <row r="46" spans="1:1" ht="13.5" customHeight="1">
      <c r="A46" t="s">
        <v>185</v>
      </c>
    </row>
    <row r="47" spans="1:1" ht="13.5" customHeight="1">
      <c r="A47" t="s">
        <v>186</v>
      </c>
    </row>
    <row r="48" spans="1:1" ht="13.5" customHeight="1">
      <c r="A48" t="s">
        <v>187</v>
      </c>
    </row>
    <row r="49" spans="1:1" ht="13.5" customHeight="1">
      <c r="A49" t="s">
        <v>188</v>
      </c>
    </row>
    <row r="50" spans="1:1" ht="13.5" customHeight="1">
      <c r="A50" t="s">
        <v>189</v>
      </c>
    </row>
    <row r="51" spans="1:1" ht="13.5" customHeight="1">
      <c r="A51" t="s">
        <v>190</v>
      </c>
    </row>
  </sheetData>
  <phoneticPr fontId="1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RS020</vt:lpstr>
      <vt:lpstr>1RS020  定義文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情報開発センター</dc:creator>
  <cp:lastModifiedBy>Yuhang Xiao (JP)</cp:lastModifiedBy>
  <cp:revision>0</cp:revision>
  <cp:lastPrinted>2008-08-27T18:16:18Z</cp:lastPrinted>
  <dcterms:created xsi:type="dcterms:W3CDTF">2002-09-05T15:43:58Z</dcterms:created>
  <dcterms:modified xsi:type="dcterms:W3CDTF">2026-04-23T06:41:06Z</dcterms:modified>
  <dc:language>en-US</dc:language>
</cp:coreProperties>
</file>