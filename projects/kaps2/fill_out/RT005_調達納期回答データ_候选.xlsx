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T005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0"/>
    <numFmt numFmtId="165" formatCode="0;[RED]0"/>
  </numFmts>
  <fonts count="12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明朝"/>
      <charset val="128"/>
      <family val="1"/>
      <b val="1"/>
      <sz val="18"/>
    </font>
    <font>
      <name val="ＭＳ Ｐゴシック"/>
      <charset val="128"/>
      <family val="3"/>
      <b val="1"/>
      <sz val="12"/>
    </font>
    <font>
      <name val="ＭＳ 明朝"/>
      <charset val="128"/>
      <family val="1"/>
      <color rgb="FF008000"/>
      <sz val="9"/>
    </font>
    <font>
      <name val="ＭＳ 明朝"/>
      <charset val="128"/>
      <family val="1"/>
      <color rgb="FF008000"/>
      <sz val="8"/>
    </font>
    <font>
      <name val="ＭＳ Ｐゴシック"/>
      <charset val="128"/>
      <family val="3"/>
      <b val="1"/>
      <color rgb="FFFFFFFF"/>
      <sz val="12"/>
    </font>
    <font>
      <name val="ＭＳ 明朝"/>
      <charset val="128"/>
      <family val="1"/>
      <sz val="9"/>
    </font>
    <font>
      <name val="ＭＳ Ｐゴシック"/>
      <charset val="128"/>
      <family val="3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</fills>
  <borders count="54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medium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/>
      <right style="medium">
        <color rgb="FF008000"/>
      </right>
      <top/>
      <bottom style="hair">
        <color rgb="FF008000"/>
      </bottom>
      <diagonal/>
    </border>
    <border>
      <left/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8000"/>
      </left>
      <right/>
      <top style="hair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/>
      <diagonal/>
    </border>
    <border>
      <left/>
      <right style="medium">
        <color rgb="FF008000"/>
      </right>
      <top style="hair">
        <color rgb="FF008000"/>
      </top>
      <bottom/>
      <diagonal/>
    </border>
    <border>
      <left/>
      <right style="medium">
        <color rgb="FF008000"/>
      </right>
      <top/>
      <bottom/>
      <diagonal/>
    </border>
    <border>
      <left/>
      <right style="thin">
        <color rgb="FF008000"/>
      </right>
      <top style="medium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/>
      <right/>
      <top style="medium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thin">
        <color rgb="FF008000"/>
      </top>
      <bottom style="medium">
        <color rgb="FF008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5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10" applyAlignment="1" pivotButton="0" quotePrefix="0" xfId="0">
      <alignment horizontal="left" vertical="center" shrinkToFit="1"/>
    </xf>
    <xf numFmtId="49" fontId="9" fillId="0" borderId="11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4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5" applyAlignment="1" pivotButton="0" quotePrefix="0" xfId="0">
      <alignment horizontal="left" vertical="center"/>
    </xf>
    <xf numFmtId="164" fontId="9" fillId="0" borderId="16" applyAlignment="1" pivotButton="0" quotePrefix="0" xfId="0">
      <alignment horizontal="center" vertical="center"/>
    </xf>
    <xf numFmtId="49" fontId="9" fillId="0" borderId="10" applyAlignment="1" pivotButton="0" quotePrefix="0" xfId="0">
      <alignment horizontal="center" vertical="center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0">
      <alignment horizontal="center" vertical="center"/>
    </xf>
    <xf numFmtId="49" fontId="9" fillId="0" borderId="19" applyAlignment="1" pivotButton="0" quotePrefix="0" xfId="0">
      <alignment horizontal="left" vertical="center" wrapText="1"/>
    </xf>
    <xf numFmtId="49" fontId="9" fillId="0" borderId="20" applyAlignment="1" pivotButton="0" quotePrefix="0" xfId="0">
      <alignment horizontal="left" vertical="center"/>
    </xf>
    <xf numFmtId="49" fontId="9" fillId="0" borderId="21" applyAlignment="1" pivotButton="0" quotePrefix="0" xfId="0">
      <alignment horizontal="left" vertical="center"/>
    </xf>
    <xf numFmtId="0" fontId="10" fillId="3" borderId="22" applyAlignment="1" pivotButton="0" quotePrefix="0" xfId="0">
      <alignment horizontal="general" vertical="center"/>
    </xf>
    <xf numFmtId="0" fontId="10" fillId="0" borderId="22" applyAlignment="1" pivotButton="0" quotePrefix="0" xfId="0">
      <alignment horizontal="general" vertical="center"/>
    </xf>
    <xf numFmtId="0" fontId="0" fillId="0" borderId="23" applyAlignment="1" pivotButton="0" quotePrefix="0" xfId="0">
      <alignment horizontal="general" vertical="bottom"/>
    </xf>
    <xf numFmtId="49" fontId="9" fillId="0" borderId="17" applyAlignment="1" pivotButton="0" quotePrefix="0" xfId="0">
      <alignment horizontal="left" vertical="center"/>
    </xf>
    <xf numFmtId="0" fontId="10" fillId="3" borderId="22" applyAlignment="1" pivotButton="0" quotePrefix="0" xfId="0">
      <alignment horizontal="general" vertical="center" wrapText="1"/>
    </xf>
    <xf numFmtId="0" fontId="10" fillId="0" borderId="22" applyAlignment="1" pivotButton="0" quotePrefix="0" xfId="0">
      <alignment horizontal="general" vertical="bottom" wrapText="1"/>
    </xf>
    <xf numFmtId="0" fontId="10" fillId="0" borderId="23" applyAlignment="1" pivotButton="0" quotePrefix="0" xfId="0">
      <alignment horizontal="general" vertical="bottom"/>
    </xf>
    <xf numFmtId="0" fontId="5" fillId="0" borderId="22" applyAlignment="1" pivotButton="0" quotePrefix="0" xfId="0">
      <alignment horizontal="left" vertical="center"/>
    </xf>
    <xf numFmtId="165" fontId="9" fillId="4" borderId="24" applyAlignment="1" pivotButton="0" quotePrefix="0" xfId="0">
      <alignment horizontal="center" vertical="center"/>
    </xf>
    <xf numFmtId="49" fontId="9" fillId="0" borderId="24" applyAlignment="1" pivotButton="0" quotePrefix="0" xfId="0">
      <alignment horizontal="left" vertical="center" wrapText="1"/>
    </xf>
    <xf numFmtId="49" fontId="9" fillId="0" borderId="21" applyAlignment="1" pivotButton="0" quotePrefix="0" xfId="0">
      <alignment horizontal="left" vertical="center" wrapText="1"/>
    </xf>
    <xf numFmtId="49" fontId="9" fillId="4" borderId="10" applyAlignment="1" pivotButton="0" quotePrefix="0" xfId="0">
      <alignment horizontal="left" vertical="center" shrinkToFit="1"/>
    </xf>
    <xf numFmtId="164" fontId="9" fillId="0" borderId="25" applyAlignment="1" pivotButton="0" quotePrefix="0" xfId="0">
      <alignment horizontal="center" vertical="center"/>
    </xf>
    <xf numFmtId="49" fontId="9" fillId="0" borderId="26" applyAlignment="1" pivotButton="0" quotePrefix="0" xfId="0">
      <alignment horizontal="center" vertical="center"/>
    </xf>
    <xf numFmtId="49" fontId="9" fillId="0" borderId="27" applyAlignment="1" pivotButton="0" quotePrefix="0" xfId="0">
      <alignment horizontal="general" vertical="center"/>
    </xf>
    <xf numFmtId="0" fontId="9" fillId="0" borderId="27" applyAlignment="1" pivotButton="0" quotePrefix="0" xfId="0">
      <alignment horizontal="center" vertical="center" shrinkToFit="1"/>
    </xf>
    <xf numFmtId="0" fontId="9" fillId="0" borderId="28" applyAlignment="1" pivotButton="0" quotePrefix="0" xfId="0">
      <alignment horizontal="center" vertical="center"/>
    </xf>
    <xf numFmtId="49" fontId="6" fillId="2" borderId="29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29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0" applyAlignment="1" pivotButton="0" quotePrefix="0" xfId="0">
      <alignment horizontal="general" vertical="center" shrinkToFit="1"/>
    </xf>
    <xf numFmtId="49" fontId="9" fillId="0" borderId="31" applyAlignment="1" pivotButton="0" quotePrefix="0" xfId="0">
      <alignment horizontal="left" vertical="center"/>
    </xf>
    <xf numFmtId="49" fontId="7" fillId="2" borderId="32" applyAlignment="1" pivotButton="0" quotePrefix="0" xfId="0">
      <alignment horizontal="general" vertical="center" shrinkToFit="1"/>
    </xf>
    <xf numFmtId="49" fontId="9" fillId="0" borderId="32" applyAlignment="1" pivotButton="0" quotePrefix="0" xfId="0">
      <alignment horizontal="left" vertical="center" wrapText="1"/>
    </xf>
    <xf numFmtId="0" fontId="6" fillId="2" borderId="32" applyAlignment="1" pivotButton="0" quotePrefix="0" xfId="0">
      <alignment horizontal="center" vertical="center" shrinkToFit="1"/>
    </xf>
    <xf numFmtId="49" fontId="9" fillId="0" borderId="32" applyAlignment="1" pivotButton="0" quotePrefix="0" xfId="0">
      <alignment horizontal="center" vertical="center"/>
    </xf>
    <xf numFmtId="49" fontId="9" fillId="0" borderId="33" applyAlignment="1" pivotButton="0" quotePrefix="0" xfId="0">
      <alignment horizontal="center" vertical="center" shrinkToFit="1"/>
    </xf>
    <xf numFmtId="49" fontId="6" fillId="2" borderId="34" applyAlignment="1" pivotButton="0" quotePrefix="0" xfId="0">
      <alignment horizontal="general" vertical="center" shrinkToFit="1"/>
    </xf>
    <xf numFmtId="49" fontId="9" fillId="0" borderId="35" applyAlignment="1" pivotButton="0" quotePrefix="0" xfId="0">
      <alignment horizontal="left" vertical="center"/>
    </xf>
    <xf numFmtId="49" fontId="7" fillId="2" borderId="36" applyAlignment="1" pivotButton="0" quotePrefix="0" xfId="0">
      <alignment horizontal="general" vertical="center" shrinkToFit="1"/>
    </xf>
    <xf numFmtId="49" fontId="9" fillId="0" borderId="36" applyAlignment="1" pivotButton="0" quotePrefix="0" xfId="0">
      <alignment horizontal="left" vertical="center"/>
    </xf>
    <xf numFmtId="0" fontId="6" fillId="2" borderId="36" applyAlignment="1" pivotButton="0" quotePrefix="0" xfId="0">
      <alignment horizontal="center" vertical="center" shrinkToFit="1"/>
    </xf>
    <xf numFmtId="49" fontId="9" fillId="0" borderId="36" applyAlignment="1" pivotButton="0" quotePrefix="0" xfId="0">
      <alignment horizontal="center" vertical="center"/>
    </xf>
    <xf numFmtId="49" fontId="9" fillId="0" borderId="37" applyAlignment="1" pivotButton="0" quotePrefix="0" xfId="0">
      <alignment horizontal="center" vertical="center" shrinkToFit="1"/>
    </xf>
    <xf numFmtId="49" fontId="6" fillId="2" borderId="38" applyAlignment="1" pivotButton="0" quotePrefix="0" xfId="0">
      <alignment horizontal="general" vertical="center" shrinkToFit="1"/>
    </xf>
    <xf numFmtId="49" fontId="9" fillId="0" borderId="39" applyAlignment="1" pivotButton="0" quotePrefix="0" xfId="0">
      <alignment horizontal="left" vertical="center"/>
    </xf>
    <xf numFmtId="49" fontId="7" fillId="2" borderId="40" applyAlignment="1" pivotButton="0" quotePrefix="0" xfId="0">
      <alignment horizontal="general" vertical="center" shrinkToFit="1"/>
    </xf>
    <xf numFmtId="49" fontId="9" fillId="0" borderId="40" applyAlignment="1" pivotButton="0" quotePrefix="0" xfId="0">
      <alignment horizontal="left" vertical="center"/>
    </xf>
    <xf numFmtId="0" fontId="6" fillId="2" borderId="40" applyAlignment="1" pivotButton="0" quotePrefix="0" xfId="0">
      <alignment horizontal="center" vertical="center" shrinkToFit="1"/>
    </xf>
    <xf numFmtId="49" fontId="9" fillId="0" borderId="40" applyAlignment="1" pivotButton="0" quotePrefix="0" xfId="0">
      <alignment horizontal="center" vertical="center"/>
    </xf>
    <xf numFmtId="49" fontId="9" fillId="0" borderId="41" applyAlignment="1" pivotButton="0" quotePrefix="0" xfId="0">
      <alignment horizontal="general" vertical="center" shrinkToFi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center" wrapText="1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10" applyAlignment="1" pivotButton="0" quotePrefix="0" xfId="0">
      <alignment horizontal="left" vertical="center" shrinkToFit="1"/>
    </xf>
    <xf numFmtId="49" fontId="9" fillId="0" borderId="11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4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5" applyAlignment="1" pivotButton="0" quotePrefix="0" xfId="0">
      <alignment horizontal="left" vertical="center"/>
    </xf>
    <xf numFmtId="0" fontId="0" fillId="0" borderId="15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  <xf numFmtId="164" fontId="9" fillId="0" borderId="16" applyAlignment="1" pivotButton="0" quotePrefix="0" xfId="0">
      <alignment horizontal="center" vertical="center"/>
    </xf>
    <xf numFmtId="49" fontId="9" fillId="0" borderId="10" applyAlignment="1" pivotButton="0" quotePrefix="0" xfId="0">
      <alignment horizontal="center" vertical="center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0">
      <alignment horizontal="center" vertical="center"/>
    </xf>
    <xf numFmtId="49" fontId="9" fillId="0" borderId="19" applyAlignment="1" pivotButton="0" quotePrefix="0" xfId="0">
      <alignment horizontal="left" vertical="center" wrapText="1"/>
    </xf>
    <xf numFmtId="0" fontId="0" fillId="0" borderId="21" pivotButton="0" quotePrefix="0" xfId="0"/>
    <xf numFmtId="49" fontId="9" fillId="0" borderId="20" applyAlignment="1" pivotButton="0" quotePrefix="0" xfId="0">
      <alignment horizontal="left" vertical="center"/>
    </xf>
    <xf numFmtId="0" fontId="0" fillId="0" borderId="20" pivotButton="0" quotePrefix="0" xfId="0"/>
    <xf numFmtId="49" fontId="9" fillId="0" borderId="21" applyAlignment="1" pivotButton="0" quotePrefix="0" xfId="0">
      <alignment horizontal="left" vertical="center"/>
    </xf>
    <xf numFmtId="0" fontId="10" fillId="3" borderId="22" applyAlignment="1" pivotButton="0" quotePrefix="0" xfId="0">
      <alignment horizontal="general" vertical="center"/>
    </xf>
    <xf numFmtId="0" fontId="10" fillId="0" borderId="22" applyAlignment="1" pivotButton="0" quotePrefix="0" xfId="0">
      <alignment horizontal="general" vertical="center"/>
    </xf>
    <xf numFmtId="0" fontId="0" fillId="0" borderId="23" applyAlignment="1" pivotButton="0" quotePrefix="0" xfId="0">
      <alignment horizontal="general" vertical="bottom"/>
    </xf>
    <xf numFmtId="0" fontId="10" fillId="3" borderId="22" applyAlignment="1" pivotButton="0" quotePrefix="0" xfId="0">
      <alignment horizontal="general" vertical="center" wrapText="1"/>
    </xf>
    <xf numFmtId="0" fontId="10" fillId="0" borderId="22" applyAlignment="1" pivotButton="0" quotePrefix="0" xfId="0">
      <alignment horizontal="general" vertical="bottom" wrapText="1"/>
    </xf>
    <xf numFmtId="0" fontId="10" fillId="0" borderId="23" applyAlignment="1" pivotButton="0" quotePrefix="0" xfId="0">
      <alignment horizontal="general" vertical="bottom"/>
    </xf>
    <xf numFmtId="0" fontId="5" fillId="0" borderId="22" applyAlignment="1" pivotButton="0" quotePrefix="0" xfId="0">
      <alignment horizontal="left" vertical="center"/>
    </xf>
    <xf numFmtId="0" fontId="0" fillId="7" borderId="0" pivotButton="0" quotePrefix="0" xfId="0"/>
    <xf numFmtId="165" fontId="9" fillId="4" borderId="24" applyAlignment="1" pivotButton="0" quotePrefix="0" xfId="0">
      <alignment horizontal="center" vertical="center"/>
    </xf>
    <xf numFmtId="49" fontId="9" fillId="0" borderId="24" applyAlignment="1" pivotButton="0" quotePrefix="0" xfId="0">
      <alignment horizontal="left" vertical="center" wrapText="1"/>
    </xf>
    <xf numFmtId="49" fontId="9" fillId="0" borderId="21" applyAlignment="1" pivotButton="0" quotePrefix="0" xfId="0">
      <alignment horizontal="left" vertical="center" wrapText="1"/>
    </xf>
    <xf numFmtId="49" fontId="9" fillId="4" borderId="10" applyAlignment="1" pivotButton="0" quotePrefix="0" xfId="0">
      <alignment horizontal="left" vertical="center" shrinkToFit="1"/>
    </xf>
    <xf numFmtId="164" fontId="9" fillId="0" borderId="25" applyAlignment="1" pivotButton="0" quotePrefix="0" xfId="0">
      <alignment horizontal="center" vertical="center"/>
    </xf>
    <xf numFmtId="49" fontId="9" fillId="0" borderId="26" applyAlignment="1" pivotButton="0" quotePrefix="0" xfId="0">
      <alignment horizontal="center" vertical="center"/>
    </xf>
    <xf numFmtId="49" fontId="9" fillId="0" borderId="27" applyAlignment="1" pivotButton="0" quotePrefix="0" xfId="0">
      <alignment horizontal="general" vertical="center"/>
    </xf>
    <xf numFmtId="0" fontId="9" fillId="0" borderId="27" applyAlignment="1" pivotButton="0" quotePrefix="0" xfId="0">
      <alignment horizontal="center" vertical="center" shrinkToFit="1"/>
    </xf>
    <xf numFmtId="0" fontId="9" fillId="0" borderId="28" applyAlignment="1" pivotButton="0" quotePrefix="0" xfId="0">
      <alignment horizontal="center" vertical="center"/>
    </xf>
    <xf numFmtId="49" fontId="6" fillId="2" borderId="29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29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0" applyAlignment="1" pivotButton="0" quotePrefix="0" xfId="0">
      <alignment horizontal="general" vertical="center" shrinkToFit="1"/>
    </xf>
    <xf numFmtId="0" fontId="0" fillId="0" borderId="46" pivotButton="0" quotePrefix="0" xfId="0"/>
    <xf numFmtId="49" fontId="9" fillId="0" borderId="31" applyAlignment="1" pivotButton="0" quotePrefix="0" xfId="0">
      <alignment horizontal="left" vertical="center"/>
    </xf>
    <xf numFmtId="49" fontId="7" fillId="2" borderId="32" applyAlignment="1" pivotButton="0" quotePrefix="0" xfId="0">
      <alignment horizontal="general" vertical="center" shrinkToFit="1"/>
    </xf>
    <xf numFmtId="49" fontId="9" fillId="0" borderId="32" applyAlignment="1" pivotButton="0" quotePrefix="0" xfId="0">
      <alignment horizontal="left" vertical="center" wrapText="1"/>
    </xf>
    <xf numFmtId="0" fontId="0" fillId="0" borderId="47" pivotButton="0" quotePrefix="0" xfId="0"/>
    <xf numFmtId="0" fontId="6" fillId="2" borderId="32" applyAlignment="1" pivotButton="0" quotePrefix="0" xfId="0">
      <alignment horizontal="center" vertical="center" shrinkToFit="1"/>
    </xf>
    <xf numFmtId="49" fontId="9" fillId="0" borderId="32" applyAlignment="1" pivotButton="0" quotePrefix="0" xfId="0">
      <alignment horizontal="center" vertical="center"/>
    </xf>
    <xf numFmtId="49" fontId="9" fillId="0" borderId="33" applyAlignment="1" pivotButton="0" quotePrefix="0" xfId="0">
      <alignment horizontal="center" vertical="center" shrinkToFit="1"/>
    </xf>
    <xf numFmtId="49" fontId="6" fillId="2" borderId="34" applyAlignment="1" pivotButton="0" quotePrefix="0" xfId="0">
      <alignment horizontal="general" vertical="center" shrinkToFit="1"/>
    </xf>
    <xf numFmtId="0" fontId="0" fillId="0" borderId="50" pivotButton="0" quotePrefix="0" xfId="0"/>
    <xf numFmtId="49" fontId="9" fillId="0" borderId="35" applyAlignment="1" pivotButton="0" quotePrefix="0" xfId="0">
      <alignment horizontal="left" vertical="center"/>
    </xf>
    <xf numFmtId="49" fontId="7" fillId="2" borderId="36" applyAlignment="1" pivotButton="0" quotePrefix="0" xfId="0">
      <alignment horizontal="general" vertical="center" shrinkToFit="1"/>
    </xf>
    <xf numFmtId="49" fontId="9" fillId="0" borderId="36" applyAlignment="1" pivotButton="0" quotePrefix="0" xfId="0">
      <alignment horizontal="left" vertical="center"/>
    </xf>
    <xf numFmtId="0" fontId="0" fillId="0" borderId="51" pivotButton="0" quotePrefix="0" xfId="0"/>
    <xf numFmtId="0" fontId="6" fillId="2" borderId="36" applyAlignment="1" pivotButton="0" quotePrefix="0" xfId="0">
      <alignment horizontal="center" vertical="center" shrinkToFit="1"/>
    </xf>
    <xf numFmtId="49" fontId="9" fillId="0" borderId="36" applyAlignment="1" pivotButton="0" quotePrefix="0" xfId="0">
      <alignment horizontal="center" vertical="center"/>
    </xf>
    <xf numFmtId="49" fontId="9" fillId="0" borderId="37" applyAlignment="1" pivotButton="0" quotePrefix="0" xfId="0">
      <alignment horizontal="center" vertical="center" shrinkToFit="1"/>
    </xf>
    <xf numFmtId="49" fontId="6" fillId="2" borderId="38" applyAlignment="1" pivotButton="0" quotePrefix="0" xfId="0">
      <alignment horizontal="general" vertical="center" shrinkToFit="1"/>
    </xf>
    <xf numFmtId="0" fontId="0" fillId="0" borderId="52" pivotButton="0" quotePrefix="0" xfId="0"/>
    <xf numFmtId="49" fontId="9" fillId="0" borderId="39" applyAlignment="1" pivotButton="0" quotePrefix="0" xfId="0">
      <alignment horizontal="left" vertical="center"/>
    </xf>
    <xf numFmtId="49" fontId="7" fillId="2" borderId="40" applyAlignment="1" pivotButton="0" quotePrefix="0" xfId="0">
      <alignment horizontal="general" vertical="center" shrinkToFit="1"/>
    </xf>
    <xf numFmtId="49" fontId="9" fillId="0" borderId="40" applyAlignment="1" pivotButton="0" quotePrefix="0" xfId="0">
      <alignment horizontal="left" vertical="center"/>
    </xf>
    <xf numFmtId="0" fontId="0" fillId="0" borderId="53" pivotButton="0" quotePrefix="0" xfId="0"/>
    <xf numFmtId="0" fontId="6" fillId="2" borderId="40" applyAlignment="1" pivotButton="0" quotePrefix="0" xfId="0">
      <alignment horizontal="center" vertical="center" shrinkToFit="1"/>
    </xf>
    <xf numFmtId="49" fontId="9" fillId="0" borderId="40" applyAlignment="1" pivotButton="0" quotePrefix="0" xfId="0">
      <alignment horizontal="center" vertical="center"/>
    </xf>
    <xf numFmtId="49" fontId="9" fillId="0" borderId="41" applyAlignment="1" pivotButton="0" quotePrefix="0" xfId="0">
      <alignment horizontal="general" vertical="center" shrinkToFi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4921875" defaultRowHeight="15" zeroHeight="0" outlineLevelRow="0"/>
  <cols>
    <col width="3.62" customWidth="1" style="75" min="1" max="1"/>
    <col width="4.61" customWidth="1" style="75" min="2" max="2"/>
    <col width="21.25" customWidth="1" style="75" min="3" max="3"/>
    <col width="14.11" customWidth="1" style="75" min="4" max="4"/>
    <col width="5.37" customWidth="1" style="75" min="5" max="5"/>
    <col width="6.61" customWidth="1" style="75" min="6" max="7"/>
    <col width="5.61" customWidth="1" style="75" min="8" max="8"/>
    <col width="6.61" customWidth="1" style="75" min="9" max="9"/>
    <col width="4.49" customWidth="1" style="75" min="10" max="10"/>
    <col width="6.12" customWidth="1" style="75" min="11" max="11"/>
    <col width="9.609999999999999" customWidth="1" style="75" min="12" max="12"/>
    <col width="2.99" customWidth="1" style="75" min="13" max="13"/>
    <col width="25.49" customWidth="1" style="75" min="14" max="14"/>
    <col width="22.11" customWidth="1" style="75" min="15" max="15"/>
    <col width="4.99" customWidth="1" style="75" min="16" max="16"/>
    <col width="40" customWidth="1" style="76" min="17" max="17"/>
    <col width="18" customWidth="1" style="76" min="18" max="18"/>
    <col width="60" customWidth="1" style="76" min="19" max="19"/>
  </cols>
  <sheetData>
    <row r="1" ht="39.95" customHeight="1" s="76">
      <c r="A1" s="77" t="inlineStr">
        <is>
          <t>MQｲﾝﾀｰﾌｪｰｽLAYOUT仕様書</t>
        </is>
      </c>
      <c r="N1" s="78" t="inlineStr">
        <is>
          <t>下記のボタンをそのままクリックしてください。</t>
        </is>
      </c>
    </row>
    <row r="2" ht="23.1" customHeight="1" s="76">
      <c r="A2" s="79" t="inlineStr">
        <is>
          <t>№</t>
        </is>
      </c>
      <c r="B2" s="80" t="inlineStr">
        <is>
          <t>LVL</t>
        </is>
      </c>
      <c r="C2" s="80" t="inlineStr">
        <is>
          <t>項目名</t>
        </is>
      </c>
      <c r="D2" s="81" t="inlineStr">
        <is>
          <t>項目コード</t>
        </is>
      </c>
      <c r="E2" s="80" t="inlineStr">
        <is>
          <t>Type</t>
        </is>
      </c>
      <c r="F2" s="82" t="inlineStr">
        <is>
          <t>Leng　　(整数)</t>
        </is>
      </c>
      <c r="G2" s="83" t="inlineStr">
        <is>
          <t>Leng　　(小数)</t>
        </is>
      </c>
      <c r="H2" s="80" t="inlineStr">
        <is>
          <t>上限</t>
        </is>
      </c>
      <c r="I2" s="84" t="inlineStr">
        <is>
          <t>Byte</t>
        </is>
      </c>
      <c r="J2" s="80" t="inlineStr">
        <is>
          <t>ｱﾚ-</t>
        </is>
      </c>
      <c r="K2" s="85" t="inlineStr">
        <is>
          <t>備考</t>
        </is>
      </c>
      <c r="L2" s="86" t="n"/>
      <c r="O2" s="87" t="inlineStr">
        <is>
          <t>する</t>
        </is>
      </c>
      <c r="Q2" s="88" t="inlineStr">
        <is>
          <t>推奨 SAP 字段</t>
        </is>
      </c>
      <c r="R2" s="88" t="inlineStr">
        <is>
          <t>信心</t>
        </is>
      </c>
      <c r="S2" s="88" t="inlineStr">
        <is>
          <t>備考（业务判断）</t>
        </is>
      </c>
    </row>
    <row r="3" ht="23.1" customHeight="1" s="76">
      <c r="A3" s="89" t="n">
        <v>1</v>
      </c>
      <c r="B3" s="90" t="inlineStr">
        <is>
          <t>03</t>
        </is>
      </c>
      <c r="C3" s="91" t="inlineStr">
        <is>
          <t>ＫＡＰＳ注番</t>
        </is>
      </c>
      <c r="D3" s="92" t="inlineStr">
        <is>
          <t>BKPSCHB</t>
        </is>
      </c>
      <c r="E3" s="93" t="inlineStr">
        <is>
          <t>C</t>
        </is>
      </c>
      <c r="F3" s="94" t="n">
        <v>8</v>
      </c>
      <c r="G3" s="95" t="n"/>
      <c r="H3" s="96" t="n">
        <v>1</v>
      </c>
      <c r="I3" s="97" t="n">
        <v>8</v>
      </c>
      <c r="J3" s="98" t="n"/>
      <c r="K3" s="99" t="n"/>
      <c r="L3" s="100" t="n"/>
      <c r="O3" s="87" t="inlineStr">
        <is>
          <t>しない</t>
        </is>
      </c>
      <c r="Q3" s="101" t="inlineStr">
        <is>
          <t>[AI推测] EKKO.EBELN（購買発注番号）</t>
        </is>
      </c>
      <c r="R3" s="102" t="inlineStr">
        <is>
          <t>AI推测 需复核</t>
        </is>
      </c>
      <c r="S3" s="103" t="inlineStr">
        <is>
          <t>AI 推测（无历史直接命中，信心 0.88）：推荐「購買発注番号」（EKKO.EBELN）——接口类型 C(8) 与 SAP EBELN(CHAR 10) 类型兼容、长度足够容纳；本接口业务为『調達納期回答データ』（入向），注番即外部系统对应的 SAP 購買発注番号，历史映射也两次命中 EBELN。。备选：EKPO.EBELN（購買発注番号（明細ヘッダ参照）） / EBAN.BANFN（購買依頼番号）。AI 推断仅作参考，请务必人工复核。</t>
        </is>
      </c>
    </row>
    <row r="4" ht="23.1" customHeight="1" s="76">
      <c r="A4" s="104" t="n">
        <v>2</v>
      </c>
      <c r="B4" s="105" t="inlineStr">
        <is>
          <t>03</t>
        </is>
      </c>
      <c r="C4" s="91" t="inlineStr">
        <is>
          <t>納入予定日</t>
        </is>
      </c>
      <c r="D4" s="106" t="inlineStr">
        <is>
          <t>DNOY</t>
        </is>
      </c>
      <c r="E4" s="105" t="inlineStr">
        <is>
          <t>C</t>
        </is>
      </c>
      <c r="F4" s="94" t="n">
        <v>8</v>
      </c>
      <c r="G4" s="107" t="n"/>
      <c r="H4" s="108">
        <f>IF(J3="",IF(E4="","",SUM(H3,I3:I3)),(SUM(H4,(I4*J4))))</f>
        <v/>
      </c>
      <c r="I4" s="97" t="n">
        <v>8</v>
      </c>
      <c r="J4" s="109" t="n"/>
      <c r="K4" s="110" t="inlineStr">
        <is>
          <t>YYYYMMDD編集</t>
        </is>
      </c>
      <c r="L4" s="111" t="n"/>
      <c r="Q4" s="101" t="inlineStr">
        <is>
          <t>[AI推测] EKET.EINDT（納入日付）</t>
        </is>
      </c>
      <c r="R4" s="102" t="inlineStr">
        <is>
          <t>AI推测 需复核</t>
        </is>
      </c>
      <c r="S4" s="103" t="inlineStr">
        <is>
          <t>AI 推测（无历史直接命中，信心 0.92）：推荐「納入日付」（EKET.EINDT）——C(8) + 备注 YYYYMMDD編集 与 SAP DATS(8) 完全兼容；业务为『調達納期回答』（采购交货期回答，入向 SAP），EKET-EINDT 是采购订单交货计划行的納入日付，语义与类型长度双匹配。备选：EKPO.EINDT（納入日付） / MDKP.LAEDA（変更日付）。AI 推断仅作参考，请务必人工复核。</t>
        </is>
      </c>
    </row>
    <row r="5" ht="23.1" customHeight="1" s="76">
      <c r="A5" s="104" t="n">
        <v>3</v>
      </c>
      <c r="B5" s="105" t="inlineStr">
        <is>
          <t>03</t>
        </is>
      </c>
      <c r="C5" s="91" t="inlineStr">
        <is>
          <t>メモ</t>
        </is>
      </c>
      <c r="D5" s="92" t="inlineStr">
        <is>
          <t>XMEM</t>
        </is>
      </c>
      <c r="E5" s="93" t="inlineStr">
        <is>
          <t>C</t>
        </is>
      </c>
      <c r="F5" s="94" t="n">
        <v>255</v>
      </c>
      <c r="G5" s="95" t="n"/>
      <c r="H5" s="108">
        <f>IF(J4="",IF(E5="","",SUM(H4,I4:I4)),(SUM(H5,(I5*J5))))</f>
        <v/>
      </c>
      <c r="I5" s="97" t="n">
        <v>255</v>
      </c>
      <c r="J5" s="98" t="n"/>
      <c r="K5" s="112" t="n"/>
      <c r="L5" s="113" t="n"/>
      <c r="Q5" s="101" t="inlineStr">
        <is>
          <t>[AI推测] VBAK.BSTNK（得意先発注番号/備考テキスト参考）</t>
        </is>
      </c>
      <c r="R5" s="102" t="inlineStr">
        <is>
          <t>AI推测 需复核</t>
        </is>
      </c>
      <c r="S5" s="103" t="inlineStr">
        <is>
          <t>AI 推测（无历史直接命中，信心 0.25）：推荐「得意先発注番号/備考テキスト参考」（VBAK.BSTNK）——C(255) 长文本字段，通常用于自由备注。但 BSTNK 只有 CHAR20，长度不完全兼容，仅作弱候选。。备选：VBKD.BSTKD_E（納入先発注番号） / VBBE.VBELN（伝票番号（参照用））。AI 推断仅作参考，请务必人工复核。</t>
        </is>
      </c>
    </row>
    <row r="6" ht="23.1" customHeight="1" s="76">
      <c r="A6" s="104" t="n">
        <v>4</v>
      </c>
      <c r="B6" s="105" t="inlineStr">
        <is>
          <t>03</t>
        </is>
      </c>
      <c r="C6" s="91" t="inlineStr">
        <is>
          <t>更新日付</t>
        </is>
      </c>
      <c r="D6" s="106" t="inlineStr">
        <is>
          <t>DKSN</t>
        </is>
      </c>
      <c r="E6" s="105" t="inlineStr">
        <is>
          <t>C</t>
        </is>
      </c>
      <c r="F6" s="94" t="n">
        <v>8</v>
      </c>
      <c r="G6" s="107" t="n"/>
      <c r="H6" s="108">
        <f>IF(J5="",IF(E6="","",SUM(H5,I5:I5)),(SUM(H6,(I6*J6))))</f>
        <v/>
      </c>
      <c r="I6" s="97" t="n">
        <v>8</v>
      </c>
      <c r="J6" s="109" t="n"/>
      <c r="K6" s="114" t="inlineStr">
        <is>
          <t>YYYYMMDD編集</t>
        </is>
      </c>
      <c r="L6" s="111" t="n"/>
      <c r="N6" s="115" t="inlineStr">
        <is>
          <t>保存フォルダ</t>
        </is>
      </c>
      <c r="O6" s="116" t="inlineStr">
        <is>
          <t>C:\TEMP\</t>
        </is>
      </c>
      <c r="P6" s="117" t="n"/>
      <c r="Q6" s="101" t="inlineStr">
        <is>
          <t>[AI推测] VBAK.AEDAT（最終変更日付）</t>
        </is>
      </c>
      <c r="R6" s="102" t="inlineStr">
        <is>
          <t>AI推测 需复核</t>
        </is>
      </c>
      <c r="S6" s="103" t="inlineStr">
        <is>
          <t>AI 推测（无历史直接命中，信心 0.82）：推荐「最終変更日付」（VBAK.AEDAT）——C(8) + 备注 YYYYMMDD → SAP 用 DATS(8)，类型长度完全兼容；项目名『更新日付』直译为最終変更日付，调达纳期回答场景中受注抬头 VBAK.AEDAT 记录订单/纳期更新时间点，语义最贴切。。备选：VBAP.AEDAT（明細最終変更日付） / EKKO.AEDAT（発注伝票変更日付）。AI 推断仅作参考，请务必人工复核。</t>
        </is>
      </c>
    </row>
    <row r="7" ht="23.1" customHeight="1" s="76">
      <c r="A7" s="104" t="n">
        <v>5</v>
      </c>
      <c r="B7" s="105" t="inlineStr">
        <is>
          <t>03</t>
        </is>
      </c>
      <c r="C7" s="91" t="inlineStr">
        <is>
          <t>更新時刻</t>
        </is>
      </c>
      <c r="D7" s="106" t="inlineStr">
        <is>
          <t>DKSNTIM</t>
        </is>
      </c>
      <c r="E7" s="105" t="inlineStr">
        <is>
          <t>C</t>
        </is>
      </c>
      <c r="F7" s="94" t="n">
        <v>6</v>
      </c>
      <c r="G7" s="107" t="n"/>
      <c r="H7" s="108">
        <f>IF(J6="",IF(E7="","",SUM(H6,I6:I6)),(SUM(H7,(I7*J7))))</f>
        <v/>
      </c>
      <c r="I7" s="97" t="n">
        <v>6</v>
      </c>
      <c r="J7" s="109" t="n"/>
      <c r="K7" s="106" t="inlineStr">
        <is>
          <t>HHMMSS編集</t>
        </is>
      </c>
      <c r="L7" s="114" t="n"/>
      <c r="N7" s="118" t="inlineStr">
        <is>
          <t>ファイル名</t>
        </is>
      </c>
      <c r="O7" s="119" t="n"/>
      <c r="P7" s="120" t="n"/>
      <c r="Q7" s="101" t="inlineStr">
        <is>
          <t>[AI推测] CDHDR.UTIME（変更時刻）</t>
        </is>
      </c>
      <c r="R7" s="102" t="inlineStr">
        <is>
          <t>★（AI推测）</t>
        </is>
      </c>
      <c r="S7" s="103" t="inlineStr">
        <is>
          <t>AI 推测（无历史直接命中，信心 0.70）：推荐「変更時刻」（CDHDR.UTIME）——CDHDR-UTIME 为 SAP 标准 TIMS(6) 字段，内部格式正是 HHMMSS，与本字段 C(6)+『HHMMSS編集』 类型/长度完全兼容；CDHDR 是变更文档表头，UTIME 精确对应『更新時刻』——记录一次更新的时分秒，语义匹配度最高。。备选：EDIDC.CRETIM（IDoc作成時刻） / SYST.UZEIT（システム現在時刻）。AI 推断仅作参考，请务必人工复核。</t>
        </is>
      </c>
    </row>
    <row r="8" ht="23.1" customHeight="1" s="76">
      <c r="A8" s="104" t="n">
        <v>6</v>
      </c>
      <c r="B8" s="105" t="inlineStr">
        <is>
          <t>03</t>
        </is>
      </c>
      <c r="C8" s="91" t="inlineStr">
        <is>
          <t>予備</t>
        </is>
      </c>
      <c r="D8" s="106" t="inlineStr">
        <is>
          <t>FILLER</t>
        </is>
      </c>
      <c r="E8" s="105" t="inlineStr">
        <is>
          <t>C</t>
        </is>
      </c>
      <c r="F8" s="94" t="n">
        <v>15</v>
      </c>
      <c r="G8" s="107" t="n"/>
      <c r="H8" s="108">
        <f>IF(J7="",IF(E8="","",SUM(H7,I7:I7)),(SUM(H8,(I8*J8))))</f>
        <v/>
      </c>
      <c r="I8" s="97" t="n">
        <v>15</v>
      </c>
      <c r="J8" s="109" t="n"/>
      <c r="K8" s="106" t="n"/>
      <c r="L8" s="114" t="n"/>
      <c r="N8" s="118" t="inlineStr">
        <is>
          <t>自動計算する？</t>
        </is>
      </c>
      <c r="O8" s="121" t="inlineStr">
        <is>
          <t>しない</t>
        </is>
      </c>
      <c r="P8" s="117" t="n"/>
      <c r="Q8" s="122" t="inlineStr">
        <is>
          <t>（填充/占位，跳过映射）</t>
        </is>
      </c>
      <c r="R8" s="122" t="inlineStr">
        <is>
          <t>—</t>
        </is>
      </c>
      <c r="S8" s="122" t="inlineStr">
        <is>
          <t>填充/占位字段，无需映射。</t>
        </is>
      </c>
    </row>
    <row r="9" ht="23.1" customHeight="1" s="76">
      <c r="A9" s="104" t="n">
        <v>7</v>
      </c>
      <c r="B9" s="105" t="n"/>
      <c r="C9" s="91" t="n"/>
      <c r="D9" s="106" t="n"/>
      <c r="E9" s="105" t="n"/>
      <c r="F9" s="94" t="n"/>
      <c r="G9" s="107" t="n"/>
      <c r="H9" s="108" t="n"/>
      <c r="I9" s="123" t="n"/>
      <c r="J9" s="109" t="n"/>
      <c r="K9" s="106" t="n"/>
      <c r="L9" s="114" t="n"/>
    </row>
    <row r="10" ht="23.1" customHeight="1" s="76">
      <c r="A10" s="104" t="n">
        <v>8</v>
      </c>
      <c r="B10" s="105" t="n"/>
      <c r="C10" s="91" t="n"/>
      <c r="D10" s="106" t="n"/>
      <c r="E10" s="105" t="n"/>
      <c r="F10" s="94" t="n"/>
      <c r="G10" s="107" t="n"/>
      <c r="H10" s="108">
        <f>IF(J9="",IF(E10="","",SUM(H9,I9:I9)),(SUM(H10,(I10*J10))))</f>
        <v/>
      </c>
      <c r="I10" s="97" t="n"/>
      <c r="J10" s="109" t="n"/>
      <c r="K10" s="106" t="n"/>
      <c r="L10" s="114" t="n"/>
    </row>
    <row r="11" ht="23.1" customHeight="1" s="76">
      <c r="A11" s="104" t="n">
        <v>9</v>
      </c>
      <c r="B11" s="105" t="n"/>
      <c r="C11" s="91" t="n"/>
      <c r="D11" s="106" t="n"/>
      <c r="E11" s="105" t="n"/>
      <c r="F11" s="94" t="n"/>
      <c r="G11" s="107" t="n"/>
      <c r="H11" s="108">
        <f>IF(J10="",IF(E11="","",SUM(H10,I10:I10)),(SUM(H11,(I11*J11))))</f>
        <v/>
      </c>
      <c r="I11" s="97" t="n"/>
      <c r="J11" s="109" t="n"/>
      <c r="K11" s="106" t="n"/>
      <c r="L11" s="114" t="n"/>
    </row>
    <row r="12" ht="23.1" customHeight="1" s="76">
      <c r="A12" s="104" t="inlineStr">
        <is>
          <t>10</t>
        </is>
      </c>
      <c r="B12" s="105" t="n"/>
      <c r="C12" s="91" t="n"/>
      <c r="D12" s="106" t="n"/>
      <c r="E12" s="105" t="n"/>
      <c r="F12" s="94" t="n"/>
      <c r="G12" s="107" t="n"/>
      <c r="H12" s="108">
        <f>IF(J11="",IF(E12="","",SUM(H11,I11:I11)),(SUM(H12,(I12*J12))))</f>
        <v/>
      </c>
      <c r="I12" s="97" t="n"/>
      <c r="J12" s="109" t="n"/>
      <c r="K12" s="106" t="n"/>
      <c r="L12" s="114" t="n"/>
    </row>
    <row r="13" ht="23.1" customHeight="1" s="76">
      <c r="A13" s="104" t="inlineStr">
        <is>
          <t>11</t>
        </is>
      </c>
      <c r="B13" s="105" t="n"/>
      <c r="C13" s="91" t="n"/>
      <c r="D13" s="106" t="n"/>
      <c r="E13" s="105" t="n"/>
      <c r="F13" s="94" t="n"/>
      <c r="G13" s="107" t="n"/>
      <c r="H13" s="108">
        <f>IF(J12="",IF(E13="","",SUM(H12,I12:I12)),(SUM(H13,(I13*J13))))</f>
        <v/>
      </c>
      <c r="I13" s="97" t="n"/>
      <c r="J13" s="109" t="n"/>
      <c r="K13" s="124" t="n"/>
      <c r="L13" s="125" t="n"/>
    </row>
    <row r="14" ht="23.1" customHeight="1" s="76">
      <c r="A14" s="104" t="inlineStr">
        <is>
          <t>12</t>
        </is>
      </c>
      <c r="B14" s="105" t="n"/>
      <c r="C14" s="91" t="n"/>
      <c r="D14" s="106" t="n"/>
      <c r="E14" s="105" t="n"/>
      <c r="F14" s="94" t="n"/>
      <c r="G14" s="107" t="n"/>
      <c r="H14" s="108">
        <f>IF(J13="",IF(E14="","",SUM(H13,I13:I13)),(SUM(H14,(I14*J14))))</f>
        <v/>
      </c>
      <c r="I14" s="97" t="n"/>
      <c r="J14" s="109" t="n"/>
      <c r="K14" s="124" t="n"/>
      <c r="L14" s="125" t="n"/>
    </row>
    <row r="15" ht="23.1" customHeight="1" s="76">
      <c r="A15" s="104" t="inlineStr">
        <is>
          <t>13</t>
        </is>
      </c>
      <c r="B15" s="105" t="n"/>
      <c r="C15" s="91" t="n"/>
      <c r="D15" s="106" t="n"/>
      <c r="E15" s="105" t="n"/>
      <c r="F15" s="94" t="n"/>
      <c r="G15" s="107" t="n"/>
      <c r="H15" s="108">
        <f>IF(J14="",IF(E15="","",SUM(H14,I14:I14)),(SUM(H15,(I15*J15))))</f>
        <v/>
      </c>
      <c r="I15" s="97" t="n"/>
      <c r="J15" s="109" t="n"/>
      <c r="K15" s="106" t="n"/>
      <c r="L15" s="114" t="n"/>
    </row>
    <row r="16" ht="23.1" customHeight="1" s="76">
      <c r="A16" s="104" t="inlineStr">
        <is>
          <t>14</t>
        </is>
      </c>
      <c r="B16" s="105" t="n"/>
      <c r="C16" s="91" t="n"/>
      <c r="D16" s="106" t="n"/>
      <c r="E16" s="105" t="n"/>
      <c r="F16" s="94" t="n"/>
      <c r="G16" s="107" t="n"/>
      <c r="H16" s="108">
        <f>IF(J15="",IF(E16="","",SUM(H15,I15:I15)),(SUM(H16,(I16*J16))))</f>
        <v/>
      </c>
      <c r="I16" s="97" t="n"/>
      <c r="J16" s="109" t="n"/>
      <c r="K16" s="124" t="n"/>
      <c r="L16" s="125" t="n"/>
    </row>
    <row r="17" ht="23.1" customHeight="1" s="76">
      <c r="A17" s="104" t="inlineStr">
        <is>
          <t>15</t>
        </is>
      </c>
      <c r="B17" s="105" t="n"/>
      <c r="C17" s="126" t="n"/>
      <c r="D17" s="106" t="n"/>
      <c r="E17" s="105" t="n"/>
      <c r="F17" s="94" t="n"/>
      <c r="G17" s="107" t="n"/>
      <c r="H17" s="108" t="n"/>
      <c r="I17" s="97" t="n"/>
      <c r="J17" s="109" t="n"/>
      <c r="K17" s="124" t="n"/>
      <c r="L17" s="125" t="n"/>
    </row>
    <row r="18" ht="23.1" customHeight="1" s="76">
      <c r="A18" s="104" t="inlineStr">
        <is>
          <t>16</t>
        </is>
      </c>
      <c r="B18" s="105" t="n"/>
      <c r="C18" s="126" t="n"/>
      <c r="D18" s="106" t="n"/>
      <c r="E18" s="105" t="n"/>
      <c r="F18" s="94" t="n"/>
      <c r="G18" s="107" t="n"/>
      <c r="H18" s="108" t="n"/>
      <c r="I18" s="97" t="n"/>
      <c r="J18" s="109" t="n"/>
      <c r="K18" s="124" t="n"/>
      <c r="L18" s="125" t="n"/>
    </row>
    <row r="19" ht="23.1" customHeight="1" s="76">
      <c r="A19" s="104" t="inlineStr">
        <is>
          <t>17</t>
        </is>
      </c>
      <c r="B19" s="105" t="n"/>
      <c r="C19" s="126" t="n"/>
      <c r="D19" s="106" t="n"/>
      <c r="E19" s="93" t="n"/>
      <c r="F19" s="94" t="n"/>
      <c r="G19" s="107" t="n"/>
      <c r="H19" s="108" t="n"/>
      <c r="I19" s="97" t="n"/>
      <c r="J19" s="109" t="n"/>
      <c r="K19" s="124" t="n"/>
      <c r="L19" s="125" t="n"/>
    </row>
    <row r="20" ht="23.1" customHeight="1" s="76">
      <c r="A20" s="104" t="inlineStr">
        <is>
          <t>18</t>
        </is>
      </c>
      <c r="B20" s="105" t="n"/>
      <c r="C20" s="126" t="n"/>
      <c r="D20" s="106" t="n"/>
      <c r="E20" s="105" t="n"/>
      <c r="F20" s="94" t="n"/>
      <c r="G20" s="107" t="n"/>
      <c r="H20" s="108" t="n"/>
      <c r="I20" s="97" t="n"/>
      <c r="J20" s="109" t="n"/>
      <c r="K20" s="124" t="n"/>
      <c r="L20" s="125" t="n"/>
    </row>
    <row r="21" ht="23.1" customHeight="1" s="76">
      <c r="A21" s="104" t="inlineStr">
        <is>
          <t>19</t>
        </is>
      </c>
      <c r="B21" s="105" t="n"/>
      <c r="C21" s="126" t="n"/>
      <c r="D21" s="106" t="n"/>
      <c r="E21" s="105" t="n"/>
      <c r="F21" s="94" t="n"/>
      <c r="G21" s="107" t="n"/>
      <c r="H21" s="108" t="n"/>
      <c r="I21" s="97" t="n"/>
      <c r="J21" s="109" t="n"/>
      <c r="K21" s="124" t="n"/>
      <c r="L21" s="125" t="n"/>
    </row>
    <row r="22" ht="23.1" customHeight="1" s="76">
      <c r="A22" s="104" t="inlineStr">
        <is>
          <t>20</t>
        </is>
      </c>
      <c r="B22" s="105" t="n"/>
      <c r="C22" s="126" t="n"/>
      <c r="D22" s="106" t="n"/>
      <c r="E22" s="105" t="n"/>
      <c r="F22" s="94" t="n"/>
      <c r="G22" s="107" t="n"/>
      <c r="H22" s="108" t="n"/>
      <c r="I22" s="97" t="n"/>
      <c r="J22" s="109" t="n"/>
      <c r="K22" s="124" t="n"/>
      <c r="L22" s="125" t="n"/>
    </row>
    <row r="23" ht="23.1" customHeight="1" s="76">
      <c r="A23" s="104" t="inlineStr">
        <is>
          <t>21</t>
        </is>
      </c>
      <c r="B23" s="105" t="n"/>
      <c r="C23" s="126" t="n"/>
      <c r="D23" s="106" t="n"/>
      <c r="E23" s="105" t="n"/>
      <c r="F23" s="94" t="n"/>
      <c r="G23" s="107" t="n"/>
      <c r="H23" s="108" t="n"/>
      <c r="I23" s="97" t="n"/>
      <c r="J23" s="109" t="n"/>
      <c r="K23" s="124" t="n"/>
      <c r="L23" s="125" t="n"/>
    </row>
    <row r="24" ht="23.1" customHeight="1" s="76">
      <c r="A24" s="104" t="inlineStr">
        <is>
          <t>22</t>
        </is>
      </c>
      <c r="B24" s="105" t="n"/>
      <c r="C24" s="126" t="n"/>
      <c r="D24" s="106" t="n"/>
      <c r="E24" s="105" t="n"/>
      <c r="F24" s="94" t="n"/>
      <c r="G24" s="107" t="n"/>
      <c r="H24" s="108" t="n"/>
      <c r="I24" s="97" t="n"/>
      <c r="J24" s="109" t="n"/>
      <c r="K24" s="124" t="n"/>
      <c r="L24" s="125" t="n"/>
    </row>
    <row r="25" ht="23.1" customHeight="1" s="76">
      <c r="A25" s="104" t="inlineStr">
        <is>
          <t>23</t>
        </is>
      </c>
      <c r="B25" s="105" t="n"/>
      <c r="C25" s="126" t="n"/>
      <c r="D25" s="106" t="n"/>
      <c r="E25" s="105" t="n"/>
      <c r="F25" s="94" t="n"/>
      <c r="G25" s="107" t="n"/>
      <c r="H25" s="108" t="n"/>
      <c r="I25" s="97" t="n"/>
      <c r="J25" s="109" t="n"/>
      <c r="K25" s="124" t="n"/>
      <c r="L25" s="125" t="n"/>
    </row>
    <row r="26" ht="23.1" customHeight="1" s="76">
      <c r="A26" s="104" t="inlineStr">
        <is>
          <t>24</t>
        </is>
      </c>
      <c r="B26" s="105" t="n"/>
      <c r="C26" s="126" t="n"/>
      <c r="D26" s="106" t="n"/>
      <c r="E26" s="93" t="n"/>
      <c r="F26" s="94" t="n"/>
      <c r="G26" s="107" t="n"/>
      <c r="H26" s="108" t="n"/>
      <c r="I26" s="97" t="n"/>
      <c r="J26" s="109" t="n"/>
      <c r="K26" s="106" t="n"/>
      <c r="L26" s="114" t="n"/>
    </row>
    <row r="27" ht="23.1" customHeight="1" s="76">
      <c r="A27" s="104" t="inlineStr">
        <is>
          <t>25</t>
        </is>
      </c>
      <c r="B27" s="105" t="n"/>
      <c r="C27" s="126" t="n"/>
      <c r="D27" s="106" t="n"/>
      <c r="E27" s="93" t="n"/>
      <c r="F27" s="94" t="n"/>
      <c r="G27" s="107" t="n"/>
      <c r="H27" s="108" t="n"/>
      <c r="I27" s="97" t="n"/>
      <c r="J27" s="109" t="n"/>
      <c r="K27" s="106" t="n"/>
      <c r="L27" s="114" t="n"/>
    </row>
    <row r="28" ht="23.1" customHeight="1" s="76">
      <c r="A28" s="104" t="inlineStr">
        <is>
          <t>26</t>
        </is>
      </c>
      <c r="B28" s="105" t="n"/>
      <c r="C28" s="126" t="n"/>
      <c r="D28" s="106" t="n"/>
      <c r="E28" s="105" t="n"/>
      <c r="F28" s="94" t="n"/>
      <c r="G28" s="107" t="n"/>
      <c r="H28" s="108" t="n"/>
      <c r="I28" s="97" t="n"/>
      <c r="J28" s="109" t="n"/>
      <c r="K28" s="106" t="n"/>
      <c r="L28" s="114" t="n"/>
    </row>
    <row r="29" ht="23.1" customHeight="1" s="76">
      <c r="A29" s="104" t="inlineStr">
        <is>
          <t>27</t>
        </is>
      </c>
      <c r="B29" s="105" t="n"/>
      <c r="C29" s="126" t="n"/>
      <c r="D29" s="106" t="n"/>
      <c r="E29" s="105" t="n"/>
      <c r="F29" s="94" t="n"/>
      <c r="G29" s="107" t="n"/>
      <c r="H29" s="108" t="n"/>
      <c r="I29" s="97" t="n"/>
      <c r="J29" s="109" t="n"/>
      <c r="K29" s="106" t="n"/>
      <c r="L29" s="114" t="n"/>
    </row>
    <row r="30" ht="23.1" customHeight="1" s="76">
      <c r="A30" s="104" t="inlineStr">
        <is>
          <t>28</t>
        </is>
      </c>
      <c r="B30" s="105" t="n"/>
      <c r="C30" s="126" t="n"/>
      <c r="D30" s="106" t="n"/>
      <c r="E30" s="105" t="n"/>
      <c r="F30" s="94" t="n"/>
      <c r="G30" s="107" t="n"/>
      <c r="H30" s="108" t="n"/>
      <c r="I30" s="97" t="n"/>
      <c r="J30" s="109" t="n"/>
      <c r="K30" s="106" t="n"/>
      <c r="L30" s="114" t="n"/>
    </row>
    <row r="31" ht="23.1" customHeight="1" s="76">
      <c r="A31" s="104" t="inlineStr">
        <is>
          <t>29</t>
        </is>
      </c>
      <c r="B31" s="105" t="n"/>
      <c r="C31" s="126" t="n"/>
      <c r="D31" s="106" t="n"/>
      <c r="E31" s="105" t="n"/>
      <c r="F31" s="94" t="n"/>
      <c r="G31" s="107" t="n"/>
      <c r="H31" s="108" t="n"/>
      <c r="I31" s="97" t="n"/>
      <c r="J31" s="109" t="n"/>
      <c r="K31" s="106" t="n"/>
      <c r="L31" s="114" t="n"/>
    </row>
    <row r="32" ht="23.1" customHeight="1" s="76">
      <c r="A32" s="127" t="inlineStr">
        <is>
          <t>30</t>
        </is>
      </c>
      <c r="B32" s="128" t="n"/>
      <c r="C32" s="126" t="n"/>
      <c r="D32" s="106" t="n"/>
      <c r="E32" s="105" t="n"/>
      <c r="F32" s="94" t="n"/>
      <c r="G32" s="107" t="n"/>
      <c r="H32" s="108" t="n"/>
      <c r="I32" s="97" t="n"/>
      <c r="J32" s="109" t="n"/>
      <c r="K32" s="106" t="n"/>
      <c r="L32" s="114" t="n"/>
    </row>
    <row r="33" ht="23.1" customHeight="1" s="76">
      <c r="A33" s="129" t="n"/>
      <c r="B33" s="129" t="n"/>
      <c r="C33" s="129" t="n"/>
      <c r="D33" s="129" t="n"/>
      <c r="E33" s="130" t="n"/>
      <c r="F33" s="130" t="n"/>
      <c r="G33" s="131" t="n"/>
      <c r="H33" s="132" t="inlineStr">
        <is>
          <t>総Byte</t>
        </is>
      </c>
      <c r="I33" s="133" t="n">
        <v>300</v>
      </c>
      <c r="J33" s="134" t="inlineStr">
        <is>
          <t>PAGE</t>
        </is>
      </c>
      <c r="K33" s="135" t="n">
        <v>1</v>
      </c>
      <c r="L33" s="136" t="inlineStr">
        <is>
          <t>/E</t>
        </is>
      </c>
    </row>
    <row r="34" ht="15" customHeight="1" s="76">
      <c r="A34" s="137" t="n"/>
      <c r="B34" s="137" t="n"/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137" t="n"/>
    </row>
    <row r="35" ht="23.1" customHeight="1" s="76">
      <c r="A35" s="138" t="inlineStr">
        <is>
          <t>レイアウトコ-ド</t>
        </is>
      </c>
      <c r="B35" s="139" t="n"/>
      <c r="C35" s="140" t="inlineStr">
        <is>
          <t>RT005</t>
        </is>
      </c>
      <c r="D35" s="141" t="inlineStr">
        <is>
          <t>レイアウト名</t>
        </is>
      </c>
      <c r="E35" s="142" t="inlineStr">
        <is>
          <t>調達納期回答データ</t>
        </is>
      </c>
      <c r="F35" s="143" t="n"/>
      <c r="G35" s="139" t="n"/>
      <c r="H35" s="144" t="inlineStr">
        <is>
          <t>作成者</t>
        </is>
      </c>
      <c r="I35" s="145" t="inlineStr">
        <is>
          <t>中根</t>
        </is>
      </c>
      <c r="J35" s="139" t="n"/>
      <c r="K35" s="144" t="inlineStr">
        <is>
          <t>作成日</t>
        </is>
      </c>
      <c r="L35" s="146" t="inlineStr">
        <is>
          <t>2008/10/03</t>
        </is>
      </c>
    </row>
    <row r="36" ht="23.1" customHeight="1" s="76">
      <c r="A36" s="147" t="inlineStr">
        <is>
          <t>システムコ-ド</t>
        </is>
      </c>
      <c r="B36" s="148" t="n"/>
      <c r="C36" s="149" t="inlineStr">
        <is>
          <t>R20</t>
        </is>
      </c>
      <c r="D36" s="150" t="inlineStr">
        <is>
          <t>システム名</t>
        </is>
      </c>
      <c r="E36" s="151" t="inlineStr">
        <is>
          <t>ＫＡＰＳリニューアル</t>
        </is>
      </c>
      <c r="F36" s="152" t="n"/>
      <c r="G36" s="148" t="n"/>
      <c r="H36" s="153" t="inlineStr">
        <is>
          <t>更新者</t>
        </is>
      </c>
      <c r="I36" s="154" t="n"/>
      <c r="J36" s="148" t="n"/>
      <c r="K36" s="153" t="inlineStr">
        <is>
          <t>更新日</t>
        </is>
      </c>
      <c r="L36" s="155" t="n"/>
    </row>
    <row r="37" ht="23.1" customHeight="1" s="76">
      <c r="A37" s="156" t="inlineStr">
        <is>
          <t>起案№</t>
        </is>
      </c>
      <c r="B37" s="157" t="n"/>
      <c r="C37" s="158" t="inlineStr">
        <is>
          <t>R200-001-1</t>
        </is>
      </c>
      <c r="D37" s="159" t="inlineStr">
        <is>
          <t>起案名</t>
        </is>
      </c>
      <c r="E37" s="160" t="inlineStr">
        <is>
          <t>部品業務システム再構築</t>
        </is>
      </c>
      <c r="F37" s="161" t="n"/>
      <c r="G37" s="157" t="n"/>
      <c r="H37" s="162" t="inlineStr">
        <is>
          <t>更新者</t>
        </is>
      </c>
      <c r="I37" s="163" t="n"/>
      <c r="J37" s="157" t="n"/>
      <c r="K37" s="162" t="inlineStr">
        <is>
          <t>更新日</t>
        </is>
      </c>
      <c r="L37" s="164" t="n"/>
    </row>
  </sheetData>
  <mergeCells count="15">
    <mergeCell ref="I35:J35"/>
    <mergeCell ref="E36:G36"/>
    <mergeCell ref="K4:L4"/>
    <mergeCell ref="E37:G37"/>
    <mergeCell ref="K2:L2"/>
    <mergeCell ref="A1:L1"/>
    <mergeCell ref="A37:B37"/>
    <mergeCell ref="K5:L5"/>
    <mergeCell ref="E35:G35"/>
    <mergeCell ref="A36:B36"/>
    <mergeCell ref="I37:J37"/>
    <mergeCell ref="I36:J36"/>
    <mergeCell ref="K6:L6"/>
    <mergeCell ref="K3:L3"/>
    <mergeCell ref="A35:B35"/>
  </mergeCells>
  <dataValidations count="6">
    <dataValidation sqref="O8" showDropDown="0" showInputMessage="0" showErrorMessage="1" allowBlank="1" type="list" errorStyle="stop" operator="between">
      <formula1>$O$2:$O$3</formula1>
      <formula2>0</formula2>
    </dataValidation>
    <dataValidation sqref="Q3" showDropDown="0" showInputMessage="0" showErrorMessage="0" allowBlank="1" type="list">
      <formula1>"[AI推测] EKKO.EBELN（購買発注番号）,[AI推测] EKPO.EBELN（購買発注番号（明細ヘッダ参照））,[AI推测] EBAN.BANFN（購買依頼番号）,（手动指定）"</formula1>
    </dataValidation>
    <dataValidation sqref="Q4" showDropDown="0" showInputMessage="0" showErrorMessage="0" allowBlank="1" type="list">
      <formula1>"[AI推测] EKET.EINDT（納入日付）,[AI推测] EKPO.EINDT（納入日付）,[AI推测] MDKP.LAEDA（変更日付）,（手动指定）"</formula1>
    </dataValidation>
    <dataValidation sqref="Q5" showDropDown="0" showInputMessage="0" showErrorMessage="0" allowBlank="1" type="list">
      <formula1>"[AI推测] VBAK.BSTNK（得意先発注番号/備考テキスト参考）,[AI推测] VBKD.BSTKD_E（納入先発注番号）,[AI推测] VBBE.VBELN（伝票番号（参照用））,（手动指定）"</formula1>
    </dataValidation>
    <dataValidation sqref="Q6" showDropDown="0" showInputMessage="0" showErrorMessage="0" allowBlank="1" type="list">
      <formula1>"[AI推测] VBAK.AEDAT（最終変更日付）,[AI推测] VBAP.AEDAT（明細最終変更日付）,[AI推测] EKKO.AEDAT（発注伝票変更日付）,（手动指定）"</formula1>
    </dataValidation>
    <dataValidation sqref="Q7" showDropDown="0" showInputMessage="0" showErrorMessage="0" allowBlank="1" type="list">
      <formula1>"[AI推测] CDHDR.UTIME（変更時刻）,[AI推测] EDIDC.CRETIM（IDoc作成時刻）,[AI推测] SYST.UZEIT（システム現在時刻）,（手动指定）"</formula1>
    </dataValidation>
  </dataValidations>
  <printOptions horizontalCentered="0" verticalCentered="0" headings="0" gridLines="0" gridLinesSet="1"/>
  <pageMargins left="0.590277777777778" right="0.39375" top="0.39375" bottom="0.39375" header="0.3937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&amp;RCBL-040-530/001/200211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情報開発センター</dc:creator>
  <dc:language>en-US</dc:language>
  <dcterms:created xsi:type="dcterms:W3CDTF">2002-09-05T15:43:58Z</dcterms:created>
  <dcterms:modified xsi:type="dcterms:W3CDTF">2026-04-24T02:44:25Z</dcterms:modified>
  <cp:lastModifiedBy>fukuda</cp:lastModifiedBy>
  <cp:revision>0</cp:revision>
  <cp:lastPrinted>2002-11-23T09:47:42Z</cp:lastPrinted>
</cp:coreProperties>
</file>